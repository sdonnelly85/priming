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3"/>
  <workbookPr defaultThemeVersion="166925"/>
  <mc:AlternateContent xmlns:mc="http://schemas.openxmlformats.org/markup-compatibility/2006">
    <mc:Choice Requires="x15">
      <x15ac:absPath xmlns:x15ac="http://schemas.microsoft.com/office/spreadsheetml/2010/11/ac" url="K:\Projects\priming\Longitudinal\"/>
    </mc:Choice>
  </mc:AlternateContent>
  <xr:revisionPtr revIDLastSave="0" documentId="13_ncr:1_{BE96157D-07E9-4D34-9CD3-2A2FB5BB833A}" xr6:coauthVersionLast="36" xr6:coauthVersionMax="36" xr10:uidLastSave="{00000000-0000-0000-0000-000000000000}"/>
  <bookViews>
    <workbookView xWindow="0" yWindow="0" windowWidth="28770" windowHeight="11805" xr2:uid="{C1D77938-D5FD-42F5-B441-C36BA69AC2FA}"/>
  </bookViews>
  <sheets>
    <sheet name="42 mths" sheetId="1" r:id="rId1"/>
  </sheets>
  <definedNames>
    <definedName name="_xlnm._FilterDatabase" localSheetId="0" hidden="1">'42 mths'!$AH$1:$AH$1105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105" i="1" l="1"/>
  <c r="F1105" i="1"/>
  <c r="G1104" i="1"/>
  <c r="F1104" i="1"/>
  <c r="G1103" i="1"/>
  <c r="F1103" i="1"/>
  <c r="G1102" i="1"/>
  <c r="F1102" i="1"/>
  <c r="G1101" i="1"/>
  <c r="F1101" i="1"/>
  <c r="G1100" i="1"/>
  <c r="F1100" i="1"/>
  <c r="G1099" i="1"/>
  <c r="F1099" i="1"/>
  <c r="G1098" i="1"/>
  <c r="F1098" i="1"/>
  <c r="G1097" i="1"/>
  <c r="F1097" i="1"/>
  <c r="G1096" i="1"/>
  <c r="F1096" i="1"/>
  <c r="G1095" i="1"/>
  <c r="F1095" i="1"/>
  <c r="G1094" i="1"/>
  <c r="F1094" i="1"/>
  <c r="G1093" i="1"/>
  <c r="F1093" i="1"/>
  <c r="G1092" i="1"/>
  <c r="F1092" i="1"/>
  <c r="G1091" i="1"/>
  <c r="F1091" i="1"/>
  <c r="G1090" i="1"/>
  <c r="F1090" i="1"/>
  <c r="G1089" i="1"/>
  <c r="F1089" i="1"/>
  <c r="G1088" i="1"/>
  <c r="F1088" i="1"/>
  <c r="G1087" i="1"/>
  <c r="F1087" i="1"/>
  <c r="G1086" i="1"/>
  <c r="F1086" i="1"/>
  <c r="G1085" i="1"/>
  <c r="F1085" i="1"/>
  <c r="G1084" i="1"/>
  <c r="F1084" i="1"/>
  <c r="G1083" i="1"/>
  <c r="F1083" i="1"/>
  <c r="G1082" i="1"/>
  <c r="F1082" i="1"/>
  <c r="G1081" i="1"/>
  <c r="F1081" i="1"/>
  <c r="G1080" i="1"/>
  <c r="F1080" i="1"/>
  <c r="G1079" i="1"/>
  <c r="F1079" i="1"/>
  <c r="G1078" i="1"/>
  <c r="F1078" i="1"/>
  <c r="G1077" i="1"/>
  <c r="F1077" i="1"/>
  <c r="G1076" i="1"/>
  <c r="F1076" i="1"/>
  <c r="G1075" i="1"/>
  <c r="F1075" i="1"/>
  <c r="G1074" i="1"/>
  <c r="F1074" i="1"/>
  <c r="G1073" i="1"/>
  <c r="F1073" i="1"/>
  <c r="G1072" i="1"/>
  <c r="F1072" i="1"/>
  <c r="G1071" i="1"/>
  <c r="F1071" i="1"/>
  <c r="G1070" i="1"/>
  <c r="F1070" i="1"/>
  <c r="G1069" i="1"/>
  <c r="F1069" i="1"/>
  <c r="G1068" i="1"/>
  <c r="F1068" i="1"/>
  <c r="G1067" i="1"/>
  <c r="F1067" i="1"/>
  <c r="G1066" i="1"/>
  <c r="F1066" i="1"/>
  <c r="G1065" i="1"/>
  <c r="F1065" i="1"/>
  <c r="G1064" i="1"/>
  <c r="F1064" i="1"/>
  <c r="G1063" i="1"/>
  <c r="F1063" i="1"/>
  <c r="G1062" i="1"/>
  <c r="F1062" i="1"/>
  <c r="G1061" i="1"/>
  <c r="F1061" i="1"/>
  <c r="G1060" i="1"/>
  <c r="F1060" i="1"/>
  <c r="G1059" i="1"/>
  <c r="F1059" i="1"/>
  <c r="G1058" i="1"/>
  <c r="F1058" i="1"/>
  <c r="G1057" i="1"/>
  <c r="F1057" i="1"/>
  <c r="G1056" i="1"/>
  <c r="F1056" i="1"/>
  <c r="G1055" i="1"/>
  <c r="F1055" i="1"/>
  <c r="G1054" i="1"/>
  <c r="F1054" i="1"/>
  <c r="G1053" i="1"/>
  <c r="F1053" i="1"/>
  <c r="G1052" i="1"/>
  <c r="F1052" i="1"/>
  <c r="G1051" i="1"/>
  <c r="F1051" i="1"/>
  <c r="G1050" i="1"/>
  <c r="F1050" i="1"/>
  <c r="G1049" i="1"/>
  <c r="F1049" i="1"/>
  <c r="G1048" i="1"/>
  <c r="F1048" i="1"/>
  <c r="G1047" i="1"/>
  <c r="F1047" i="1"/>
  <c r="G1046" i="1"/>
  <c r="F1046" i="1"/>
  <c r="G1045" i="1"/>
  <c r="F1045" i="1"/>
  <c r="G1044" i="1"/>
  <c r="F1044" i="1"/>
  <c r="G1043" i="1"/>
  <c r="F1043" i="1"/>
  <c r="G1042" i="1"/>
  <c r="F1042" i="1"/>
  <c r="G1041" i="1"/>
  <c r="F1041" i="1"/>
  <c r="G1040" i="1"/>
  <c r="F1040" i="1"/>
  <c r="G1039" i="1"/>
  <c r="F1039" i="1"/>
  <c r="G1038" i="1"/>
  <c r="F1038" i="1"/>
  <c r="G1037" i="1"/>
  <c r="F1037" i="1"/>
  <c r="G1036" i="1"/>
  <c r="F1036" i="1"/>
  <c r="G1035" i="1"/>
  <c r="F1035" i="1"/>
  <c r="G1034" i="1"/>
  <c r="F1034" i="1"/>
  <c r="G1033" i="1"/>
  <c r="F1033" i="1"/>
  <c r="G1032" i="1"/>
  <c r="F1032" i="1"/>
  <c r="G1031" i="1"/>
  <c r="F1031" i="1"/>
  <c r="G1030" i="1"/>
  <c r="F1030" i="1"/>
  <c r="G1029" i="1"/>
  <c r="F1029" i="1"/>
  <c r="G1028" i="1"/>
  <c r="F1028" i="1"/>
  <c r="G1027" i="1"/>
  <c r="F1027" i="1"/>
  <c r="G1026" i="1"/>
  <c r="F1026" i="1"/>
  <c r="G1025" i="1"/>
  <c r="F1025" i="1"/>
  <c r="G1024" i="1"/>
  <c r="F1024" i="1"/>
  <c r="G1023" i="1"/>
  <c r="F1023" i="1"/>
  <c r="G1022" i="1"/>
  <c r="F1022" i="1"/>
  <c r="G1021" i="1"/>
  <c r="F1021" i="1"/>
  <c r="G1020" i="1"/>
  <c r="F1020" i="1"/>
  <c r="G1019" i="1"/>
  <c r="F1019" i="1"/>
  <c r="G1018" i="1"/>
  <c r="F1018" i="1"/>
  <c r="G1017" i="1"/>
  <c r="F1017" i="1"/>
  <c r="G1016" i="1"/>
  <c r="F1016" i="1"/>
  <c r="G1015" i="1"/>
  <c r="F1015" i="1"/>
  <c r="G1014" i="1"/>
  <c r="F1014" i="1"/>
  <c r="G1013" i="1"/>
  <c r="F1013" i="1"/>
  <c r="G1012" i="1"/>
  <c r="F1012" i="1"/>
  <c r="G1011" i="1"/>
  <c r="F1011" i="1"/>
  <c r="G1010" i="1"/>
  <c r="F1010" i="1"/>
  <c r="G1009" i="1"/>
  <c r="F1009" i="1"/>
  <c r="G1008" i="1"/>
  <c r="F1008" i="1"/>
  <c r="G1007" i="1"/>
  <c r="F1007" i="1"/>
  <c r="G1006" i="1"/>
  <c r="F1006" i="1"/>
  <c r="G1005" i="1"/>
  <c r="F1005" i="1"/>
  <c r="G1004" i="1"/>
  <c r="F1004" i="1"/>
  <c r="G1003" i="1"/>
  <c r="F1003" i="1"/>
  <c r="G1002" i="1"/>
  <c r="F1002" i="1"/>
  <c r="G1001" i="1"/>
  <c r="F1001" i="1"/>
  <c r="G1000" i="1"/>
  <c r="F1000" i="1"/>
  <c r="G999" i="1"/>
  <c r="F999" i="1"/>
  <c r="G998" i="1"/>
  <c r="F998" i="1"/>
  <c r="G997" i="1"/>
  <c r="F997" i="1"/>
  <c r="G996" i="1"/>
  <c r="F996" i="1"/>
  <c r="G995" i="1"/>
  <c r="F995" i="1"/>
  <c r="G994" i="1"/>
  <c r="F994" i="1"/>
  <c r="G993" i="1"/>
  <c r="F993" i="1"/>
  <c r="G992" i="1"/>
  <c r="F992" i="1"/>
  <c r="G991" i="1"/>
  <c r="F991" i="1"/>
  <c r="G990" i="1"/>
  <c r="F990" i="1"/>
  <c r="G989" i="1"/>
  <c r="F989" i="1"/>
  <c r="G988" i="1"/>
  <c r="F988" i="1"/>
  <c r="G987" i="1"/>
  <c r="F987" i="1"/>
  <c r="G986" i="1"/>
  <c r="F986" i="1"/>
  <c r="G985" i="1"/>
  <c r="F985" i="1"/>
  <c r="G984" i="1"/>
  <c r="F984" i="1"/>
  <c r="G983" i="1"/>
  <c r="F983" i="1"/>
  <c r="G982" i="1"/>
  <c r="F982" i="1"/>
  <c r="G981" i="1"/>
  <c r="F981" i="1"/>
  <c r="G980" i="1"/>
  <c r="F980" i="1"/>
  <c r="G979" i="1"/>
  <c r="F979" i="1"/>
  <c r="G978" i="1"/>
  <c r="F978" i="1"/>
  <c r="G977" i="1"/>
  <c r="F977" i="1"/>
  <c r="G976" i="1"/>
  <c r="F976" i="1"/>
  <c r="G975" i="1"/>
  <c r="F975" i="1"/>
  <c r="G974" i="1"/>
  <c r="F974" i="1"/>
  <c r="G973" i="1"/>
  <c r="F973" i="1"/>
  <c r="G972" i="1"/>
  <c r="F972" i="1"/>
  <c r="G971" i="1"/>
  <c r="F971" i="1"/>
  <c r="G970" i="1"/>
  <c r="F970" i="1"/>
  <c r="G969" i="1"/>
  <c r="F969" i="1"/>
  <c r="G968" i="1"/>
  <c r="F968" i="1"/>
  <c r="G967" i="1"/>
  <c r="F967" i="1"/>
  <c r="G966" i="1"/>
  <c r="F966" i="1"/>
  <c r="G965" i="1"/>
  <c r="F965" i="1"/>
  <c r="G964" i="1"/>
  <c r="F964" i="1"/>
  <c r="G963" i="1"/>
  <c r="F963" i="1"/>
  <c r="G962" i="1"/>
  <c r="F962" i="1"/>
  <c r="G961" i="1"/>
  <c r="F961" i="1"/>
  <c r="G960" i="1"/>
  <c r="F960" i="1"/>
  <c r="G959" i="1"/>
  <c r="F959" i="1"/>
  <c r="G958" i="1"/>
  <c r="F958" i="1"/>
  <c r="G957" i="1"/>
  <c r="F957" i="1"/>
  <c r="G956" i="1"/>
  <c r="F956" i="1"/>
  <c r="G955" i="1"/>
  <c r="F955" i="1"/>
  <c r="G954" i="1"/>
  <c r="F954" i="1"/>
  <c r="G953" i="1"/>
  <c r="F953" i="1"/>
  <c r="G952" i="1"/>
  <c r="F952" i="1"/>
  <c r="G951" i="1"/>
  <c r="F951" i="1"/>
  <c r="G950" i="1"/>
  <c r="F950" i="1"/>
  <c r="G949" i="1"/>
  <c r="F949" i="1"/>
  <c r="G948" i="1"/>
  <c r="F948" i="1"/>
  <c r="G947" i="1"/>
  <c r="F947" i="1"/>
  <c r="G946" i="1"/>
  <c r="F946" i="1"/>
  <c r="G945" i="1"/>
  <c r="F945" i="1"/>
  <c r="G944" i="1"/>
  <c r="F944" i="1"/>
  <c r="G943" i="1"/>
  <c r="F943" i="1"/>
  <c r="G942" i="1"/>
  <c r="F942" i="1"/>
  <c r="G941" i="1"/>
  <c r="F941" i="1"/>
  <c r="G940" i="1"/>
  <c r="F940" i="1"/>
  <c r="G939" i="1"/>
  <c r="F939" i="1"/>
  <c r="G938" i="1"/>
  <c r="F938" i="1"/>
  <c r="G937" i="1"/>
  <c r="F937" i="1"/>
  <c r="G936" i="1"/>
  <c r="F936" i="1"/>
  <c r="G935" i="1"/>
  <c r="F935" i="1"/>
  <c r="G934" i="1"/>
  <c r="F934" i="1"/>
  <c r="G933" i="1"/>
  <c r="F933" i="1"/>
  <c r="G932" i="1"/>
  <c r="F932" i="1"/>
  <c r="G931" i="1"/>
  <c r="F931" i="1"/>
  <c r="G930" i="1"/>
  <c r="F930" i="1"/>
  <c r="G929" i="1"/>
  <c r="F929" i="1"/>
  <c r="G928" i="1"/>
  <c r="F928" i="1"/>
  <c r="G927" i="1"/>
  <c r="F927" i="1"/>
  <c r="G926" i="1"/>
  <c r="F926" i="1"/>
  <c r="G925" i="1"/>
  <c r="F925" i="1"/>
  <c r="G924" i="1"/>
  <c r="F924" i="1"/>
  <c r="G923" i="1"/>
  <c r="F923" i="1"/>
  <c r="G922" i="1"/>
  <c r="F922" i="1"/>
  <c r="G921" i="1"/>
  <c r="F921" i="1"/>
  <c r="G920" i="1"/>
  <c r="F920" i="1"/>
  <c r="G919" i="1"/>
  <c r="F919" i="1"/>
  <c r="G918" i="1"/>
  <c r="F918" i="1"/>
  <c r="G917" i="1"/>
  <c r="F917" i="1"/>
  <c r="G916" i="1"/>
  <c r="F916" i="1"/>
  <c r="G915" i="1"/>
  <c r="F915" i="1"/>
  <c r="G914" i="1"/>
  <c r="F914" i="1"/>
  <c r="G913" i="1"/>
  <c r="F913" i="1"/>
  <c r="G912" i="1"/>
  <c r="F912" i="1"/>
  <c r="G911" i="1"/>
  <c r="F911" i="1"/>
  <c r="G910" i="1"/>
  <c r="F910" i="1"/>
  <c r="G909" i="1"/>
  <c r="F909" i="1"/>
  <c r="G908" i="1"/>
  <c r="F908" i="1"/>
  <c r="G907" i="1"/>
  <c r="F907" i="1"/>
  <c r="G906" i="1"/>
  <c r="F906" i="1"/>
  <c r="G905" i="1"/>
  <c r="F905" i="1"/>
  <c r="G904" i="1"/>
  <c r="F904" i="1"/>
  <c r="G903" i="1"/>
  <c r="F903" i="1"/>
  <c r="G902" i="1"/>
  <c r="F902" i="1"/>
  <c r="G901" i="1"/>
  <c r="F901" i="1"/>
  <c r="G900" i="1"/>
  <c r="F900" i="1"/>
  <c r="G899" i="1"/>
  <c r="F899" i="1"/>
  <c r="G898" i="1"/>
  <c r="F898" i="1"/>
  <c r="G897" i="1"/>
  <c r="F897" i="1"/>
  <c r="G896" i="1"/>
  <c r="F896" i="1"/>
  <c r="G895" i="1"/>
  <c r="F895" i="1"/>
  <c r="G894" i="1"/>
  <c r="F894" i="1"/>
  <c r="G893" i="1"/>
  <c r="F893" i="1"/>
  <c r="G892" i="1"/>
  <c r="F892" i="1"/>
  <c r="G891" i="1"/>
  <c r="F891" i="1"/>
  <c r="G890" i="1"/>
  <c r="F890" i="1"/>
  <c r="G889" i="1"/>
  <c r="F889" i="1"/>
  <c r="G888" i="1"/>
  <c r="F888" i="1"/>
  <c r="G887" i="1"/>
  <c r="F887" i="1"/>
  <c r="G886" i="1"/>
  <c r="F886" i="1"/>
  <c r="G885" i="1"/>
  <c r="F885" i="1"/>
  <c r="G884" i="1"/>
  <c r="F884" i="1"/>
  <c r="G883" i="1"/>
  <c r="F883" i="1"/>
  <c r="G882" i="1"/>
  <c r="F882" i="1"/>
  <c r="G881" i="1"/>
  <c r="F881" i="1"/>
  <c r="G880" i="1"/>
  <c r="F880" i="1"/>
  <c r="G879" i="1"/>
  <c r="F879" i="1"/>
  <c r="G878" i="1"/>
  <c r="F878" i="1"/>
  <c r="G877" i="1"/>
  <c r="F877" i="1"/>
  <c r="G876" i="1"/>
  <c r="F876" i="1"/>
  <c r="G875" i="1"/>
  <c r="F875" i="1"/>
  <c r="G874" i="1"/>
  <c r="F874" i="1"/>
  <c r="G873" i="1"/>
  <c r="F873" i="1"/>
  <c r="G872" i="1"/>
  <c r="F872" i="1"/>
  <c r="G871" i="1"/>
  <c r="F871" i="1"/>
  <c r="G870" i="1"/>
  <c r="F870" i="1"/>
  <c r="G869" i="1"/>
  <c r="F869" i="1"/>
  <c r="G868" i="1"/>
  <c r="F868" i="1"/>
  <c r="G867" i="1"/>
  <c r="F867" i="1"/>
  <c r="G866" i="1"/>
  <c r="F866" i="1"/>
  <c r="G865" i="1"/>
  <c r="F865" i="1"/>
  <c r="G864" i="1"/>
  <c r="F864" i="1"/>
  <c r="G863" i="1"/>
  <c r="F863" i="1"/>
  <c r="G862" i="1"/>
  <c r="F862" i="1"/>
  <c r="G861" i="1"/>
  <c r="F861" i="1"/>
  <c r="G860" i="1"/>
  <c r="F860" i="1"/>
  <c r="G859" i="1"/>
  <c r="F859" i="1"/>
  <c r="G858" i="1"/>
  <c r="F858" i="1"/>
  <c r="G857" i="1"/>
  <c r="F857" i="1"/>
  <c r="G856" i="1"/>
  <c r="F856" i="1"/>
  <c r="G855" i="1"/>
  <c r="F855" i="1"/>
  <c r="G854" i="1"/>
  <c r="F854" i="1"/>
  <c r="G853" i="1"/>
  <c r="F853" i="1"/>
  <c r="G852" i="1"/>
  <c r="F852" i="1"/>
  <c r="G851" i="1"/>
  <c r="F851" i="1"/>
  <c r="G850" i="1"/>
  <c r="F850" i="1"/>
  <c r="G849" i="1"/>
  <c r="F849" i="1"/>
  <c r="G848" i="1"/>
  <c r="F848" i="1"/>
  <c r="G847" i="1"/>
  <c r="F847" i="1"/>
  <c r="G846" i="1"/>
  <c r="F846" i="1"/>
  <c r="G845" i="1"/>
  <c r="F845" i="1"/>
  <c r="G844" i="1"/>
  <c r="F844" i="1"/>
  <c r="G843" i="1"/>
  <c r="F843" i="1"/>
  <c r="G842" i="1"/>
  <c r="F842" i="1"/>
  <c r="G841" i="1"/>
  <c r="F841" i="1"/>
  <c r="G840" i="1"/>
  <c r="F840" i="1"/>
  <c r="G839" i="1"/>
  <c r="F839" i="1"/>
  <c r="G838" i="1"/>
  <c r="F838" i="1"/>
  <c r="G837" i="1"/>
  <c r="F837" i="1"/>
  <c r="G836" i="1"/>
  <c r="F836" i="1"/>
  <c r="G835" i="1"/>
  <c r="F835" i="1"/>
  <c r="G834" i="1"/>
  <c r="F834" i="1"/>
  <c r="G833" i="1"/>
  <c r="F833" i="1"/>
  <c r="G832" i="1"/>
  <c r="F832" i="1"/>
  <c r="G831" i="1"/>
  <c r="F831" i="1"/>
  <c r="G830" i="1"/>
  <c r="F830" i="1"/>
  <c r="G829" i="1"/>
  <c r="F829" i="1"/>
  <c r="G828" i="1"/>
  <c r="F828" i="1"/>
  <c r="G827" i="1"/>
  <c r="F827" i="1"/>
  <c r="G826" i="1"/>
  <c r="F826" i="1"/>
  <c r="G825" i="1"/>
  <c r="F825" i="1"/>
  <c r="G824" i="1"/>
  <c r="F824" i="1"/>
  <c r="G823" i="1"/>
  <c r="F823" i="1"/>
  <c r="G822" i="1"/>
  <c r="F822" i="1"/>
  <c r="G821" i="1"/>
  <c r="F821" i="1"/>
  <c r="G820" i="1"/>
  <c r="F820" i="1"/>
  <c r="G819" i="1"/>
  <c r="F819" i="1"/>
  <c r="G818" i="1"/>
  <c r="F818" i="1"/>
  <c r="G817" i="1"/>
  <c r="F817" i="1"/>
  <c r="G816" i="1"/>
  <c r="F816" i="1"/>
  <c r="G815" i="1"/>
  <c r="F815" i="1"/>
  <c r="G814" i="1"/>
  <c r="F814" i="1"/>
  <c r="G813" i="1"/>
  <c r="F813" i="1"/>
  <c r="G812" i="1"/>
  <c r="F812" i="1"/>
  <c r="G811" i="1"/>
  <c r="F811" i="1"/>
  <c r="G810" i="1"/>
  <c r="F810" i="1"/>
  <c r="G809" i="1"/>
  <c r="F809" i="1"/>
  <c r="G808" i="1"/>
  <c r="F808" i="1"/>
  <c r="G807" i="1"/>
  <c r="F807" i="1"/>
  <c r="G806" i="1"/>
  <c r="F806" i="1"/>
  <c r="G805" i="1"/>
  <c r="F805" i="1"/>
  <c r="G804" i="1"/>
  <c r="F804" i="1"/>
  <c r="G803" i="1"/>
  <c r="F803" i="1"/>
  <c r="G802" i="1"/>
  <c r="F802" i="1"/>
  <c r="G801" i="1"/>
  <c r="F801" i="1"/>
  <c r="G800" i="1"/>
  <c r="F800" i="1"/>
  <c r="G799" i="1"/>
  <c r="F799" i="1"/>
  <c r="G798" i="1"/>
  <c r="F798" i="1"/>
  <c r="G797" i="1"/>
  <c r="F797" i="1"/>
  <c r="G796" i="1"/>
  <c r="F796" i="1"/>
  <c r="G795" i="1"/>
  <c r="F795" i="1"/>
  <c r="G794" i="1"/>
  <c r="F794" i="1"/>
  <c r="G793" i="1"/>
  <c r="F793" i="1"/>
  <c r="G792" i="1"/>
  <c r="F792" i="1"/>
  <c r="G791" i="1"/>
  <c r="F791" i="1"/>
  <c r="G790" i="1"/>
  <c r="F790" i="1"/>
  <c r="G789" i="1"/>
  <c r="F789" i="1"/>
  <c r="G788" i="1"/>
  <c r="F788" i="1"/>
  <c r="G787" i="1"/>
  <c r="F787" i="1"/>
  <c r="G786" i="1"/>
  <c r="F786" i="1"/>
  <c r="G785" i="1"/>
  <c r="F785" i="1"/>
  <c r="G784" i="1"/>
  <c r="F784" i="1"/>
  <c r="G783" i="1"/>
  <c r="F783" i="1"/>
  <c r="G782" i="1"/>
  <c r="F782" i="1"/>
  <c r="G781" i="1"/>
  <c r="F781" i="1"/>
  <c r="G780" i="1"/>
  <c r="F780" i="1"/>
  <c r="G779" i="1"/>
  <c r="F779" i="1"/>
  <c r="G778" i="1"/>
  <c r="F778" i="1"/>
  <c r="G777" i="1"/>
  <c r="F777" i="1"/>
  <c r="G776" i="1"/>
  <c r="F776" i="1"/>
  <c r="G775" i="1"/>
  <c r="F775" i="1"/>
  <c r="G774" i="1"/>
  <c r="F774" i="1"/>
  <c r="G773" i="1"/>
  <c r="F773" i="1"/>
  <c r="G772" i="1"/>
  <c r="F772" i="1"/>
  <c r="G771" i="1"/>
  <c r="F771" i="1"/>
  <c r="G770" i="1"/>
  <c r="F770" i="1"/>
  <c r="G769" i="1"/>
  <c r="F769" i="1"/>
  <c r="G768" i="1"/>
  <c r="F768" i="1"/>
  <c r="G767" i="1"/>
  <c r="F767" i="1"/>
  <c r="G766" i="1"/>
  <c r="F766" i="1"/>
  <c r="G765" i="1"/>
  <c r="F765" i="1"/>
  <c r="G764" i="1"/>
  <c r="F764" i="1"/>
  <c r="G763" i="1"/>
  <c r="F763" i="1"/>
  <c r="G762" i="1"/>
  <c r="F762" i="1"/>
  <c r="G761" i="1"/>
  <c r="F761" i="1"/>
  <c r="G760" i="1"/>
  <c r="F760" i="1"/>
  <c r="G759" i="1"/>
  <c r="F759" i="1"/>
  <c r="G758" i="1"/>
  <c r="F758" i="1"/>
  <c r="G757" i="1"/>
  <c r="F757" i="1"/>
  <c r="G756" i="1"/>
  <c r="F756" i="1"/>
  <c r="G755" i="1"/>
  <c r="F755" i="1"/>
  <c r="G754" i="1"/>
  <c r="F754" i="1"/>
  <c r="G753" i="1"/>
  <c r="F753" i="1"/>
  <c r="G752" i="1"/>
  <c r="F752" i="1"/>
  <c r="G751" i="1"/>
  <c r="F751" i="1"/>
  <c r="G750" i="1"/>
  <c r="F750" i="1"/>
  <c r="G749" i="1"/>
  <c r="F749" i="1"/>
  <c r="G748" i="1"/>
  <c r="F748" i="1"/>
  <c r="G747" i="1"/>
  <c r="F747" i="1"/>
  <c r="G746" i="1"/>
  <c r="F746" i="1"/>
  <c r="G745" i="1"/>
  <c r="F745" i="1"/>
  <c r="G744" i="1"/>
  <c r="F744" i="1"/>
  <c r="G743" i="1"/>
  <c r="F743" i="1"/>
  <c r="G742" i="1"/>
  <c r="F742" i="1"/>
  <c r="G741" i="1"/>
  <c r="F741" i="1"/>
  <c r="G740" i="1"/>
  <c r="F740" i="1"/>
  <c r="G739" i="1"/>
  <c r="F739" i="1"/>
  <c r="G738" i="1"/>
  <c r="F738" i="1"/>
  <c r="G737" i="1"/>
  <c r="F737" i="1"/>
  <c r="G736" i="1"/>
  <c r="F736" i="1"/>
  <c r="G735" i="1"/>
  <c r="F735" i="1"/>
  <c r="G734" i="1"/>
  <c r="F734" i="1"/>
  <c r="G733" i="1"/>
  <c r="F733" i="1"/>
  <c r="G732" i="1"/>
  <c r="F732" i="1"/>
  <c r="G731" i="1"/>
  <c r="F731" i="1"/>
  <c r="G730" i="1"/>
  <c r="F730" i="1"/>
  <c r="G729" i="1"/>
  <c r="F729" i="1"/>
  <c r="G728" i="1"/>
  <c r="F728" i="1"/>
  <c r="G727" i="1"/>
  <c r="F727" i="1"/>
  <c r="G726" i="1"/>
  <c r="F726" i="1"/>
  <c r="G725" i="1"/>
  <c r="F725" i="1"/>
  <c r="G724" i="1"/>
  <c r="F724" i="1"/>
  <c r="G723" i="1"/>
  <c r="F723" i="1"/>
  <c r="G722" i="1"/>
  <c r="F722" i="1"/>
  <c r="G721" i="1"/>
  <c r="F721" i="1"/>
  <c r="G720" i="1"/>
  <c r="F720" i="1"/>
  <c r="G719" i="1"/>
  <c r="F719" i="1"/>
  <c r="G718" i="1"/>
  <c r="F718" i="1"/>
  <c r="G717" i="1"/>
  <c r="F717" i="1"/>
  <c r="G716" i="1"/>
  <c r="F716" i="1"/>
  <c r="G715" i="1"/>
  <c r="F715" i="1"/>
  <c r="G714" i="1"/>
  <c r="F714" i="1"/>
  <c r="G713" i="1"/>
  <c r="F713" i="1"/>
  <c r="G712" i="1"/>
  <c r="F712" i="1"/>
  <c r="G711" i="1"/>
  <c r="F711" i="1"/>
  <c r="G710" i="1"/>
  <c r="F710" i="1"/>
  <c r="G709" i="1"/>
  <c r="F709" i="1"/>
  <c r="G708" i="1"/>
  <c r="F708" i="1"/>
  <c r="G707" i="1"/>
  <c r="F707" i="1"/>
  <c r="G706" i="1"/>
  <c r="F706" i="1"/>
  <c r="G705" i="1"/>
  <c r="F705" i="1"/>
  <c r="G704" i="1"/>
  <c r="F704" i="1"/>
  <c r="G703" i="1"/>
  <c r="F703" i="1"/>
  <c r="G702" i="1"/>
  <c r="F702" i="1"/>
  <c r="G701" i="1"/>
  <c r="F701" i="1"/>
  <c r="G700" i="1"/>
  <c r="F700" i="1"/>
  <c r="G699" i="1"/>
  <c r="F699" i="1"/>
  <c r="G698" i="1"/>
  <c r="F698" i="1"/>
  <c r="G697" i="1"/>
  <c r="F697" i="1"/>
  <c r="G696" i="1"/>
  <c r="F696" i="1"/>
  <c r="G695" i="1"/>
  <c r="F695" i="1"/>
  <c r="G694" i="1"/>
  <c r="F694" i="1"/>
  <c r="G693" i="1"/>
  <c r="F693" i="1"/>
  <c r="G692" i="1"/>
  <c r="F692" i="1"/>
  <c r="G691" i="1"/>
  <c r="F691" i="1"/>
  <c r="G690" i="1"/>
  <c r="F690" i="1"/>
  <c r="G689" i="1"/>
  <c r="F689" i="1"/>
  <c r="G688" i="1"/>
  <c r="F688" i="1"/>
  <c r="G687" i="1"/>
  <c r="F687" i="1"/>
  <c r="G686" i="1"/>
  <c r="F686" i="1"/>
  <c r="G685" i="1"/>
  <c r="F685" i="1"/>
  <c r="G684" i="1"/>
  <c r="F684" i="1"/>
  <c r="G683" i="1"/>
  <c r="F683" i="1"/>
  <c r="G682" i="1"/>
  <c r="F682" i="1"/>
  <c r="G681" i="1"/>
  <c r="F681" i="1"/>
  <c r="G680" i="1"/>
  <c r="F680" i="1"/>
  <c r="G679" i="1"/>
  <c r="F679" i="1"/>
  <c r="G678" i="1"/>
  <c r="F678" i="1"/>
  <c r="G677" i="1"/>
  <c r="F677" i="1"/>
  <c r="G676" i="1"/>
  <c r="F676" i="1"/>
  <c r="G675" i="1"/>
  <c r="F675" i="1"/>
  <c r="G674" i="1"/>
  <c r="F674" i="1"/>
  <c r="G673" i="1"/>
  <c r="F673" i="1"/>
  <c r="G672" i="1"/>
  <c r="F672" i="1"/>
  <c r="G671" i="1"/>
  <c r="F671" i="1"/>
  <c r="G670" i="1"/>
  <c r="F670" i="1"/>
  <c r="G669" i="1"/>
  <c r="F669" i="1"/>
  <c r="G668" i="1"/>
  <c r="F668" i="1"/>
  <c r="G667" i="1"/>
  <c r="F667" i="1"/>
  <c r="G666" i="1"/>
  <c r="F666" i="1"/>
  <c r="G665" i="1"/>
  <c r="F665" i="1"/>
  <c r="G664" i="1"/>
  <c r="F664" i="1"/>
  <c r="G663" i="1"/>
  <c r="F663" i="1"/>
  <c r="G662" i="1"/>
  <c r="F662" i="1"/>
  <c r="G661" i="1"/>
  <c r="F661" i="1"/>
  <c r="G660" i="1"/>
  <c r="F660" i="1"/>
  <c r="G659" i="1"/>
  <c r="F659" i="1"/>
  <c r="G658" i="1"/>
  <c r="F658" i="1"/>
  <c r="G657" i="1"/>
  <c r="F657" i="1"/>
  <c r="G656" i="1"/>
  <c r="F656" i="1"/>
  <c r="G655" i="1"/>
  <c r="F655" i="1"/>
  <c r="G654" i="1"/>
  <c r="F654" i="1"/>
  <c r="G653" i="1"/>
  <c r="F653" i="1"/>
  <c r="G652" i="1"/>
  <c r="F652" i="1"/>
  <c r="G651" i="1"/>
  <c r="F651" i="1"/>
  <c r="G650" i="1"/>
  <c r="F650" i="1"/>
  <c r="G649" i="1"/>
  <c r="F649" i="1"/>
  <c r="G648" i="1"/>
  <c r="F648" i="1"/>
  <c r="G647" i="1"/>
  <c r="F647" i="1"/>
  <c r="G646" i="1"/>
  <c r="F646" i="1"/>
  <c r="G645" i="1"/>
  <c r="F645" i="1"/>
  <c r="G644" i="1"/>
  <c r="F644" i="1"/>
  <c r="G643" i="1"/>
  <c r="F643" i="1"/>
  <c r="G642" i="1"/>
  <c r="F642" i="1"/>
  <c r="G641" i="1"/>
  <c r="F641" i="1"/>
  <c r="G640" i="1"/>
  <c r="F640" i="1"/>
  <c r="G639" i="1"/>
  <c r="F639" i="1"/>
  <c r="G638" i="1"/>
  <c r="F638" i="1"/>
  <c r="G637" i="1"/>
  <c r="F637" i="1"/>
  <c r="G636" i="1"/>
  <c r="F636" i="1"/>
  <c r="G635" i="1"/>
  <c r="F635" i="1"/>
  <c r="G634" i="1"/>
  <c r="F634" i="1"/>
  <c r="G633" i="1"/>
  <c r="F633" i="1"/>
  <c r="G632" i="1"/>
  <c r="F632" i="1"/>
  <c r="G631" i="1"/>
  <c r="F631" i="1"/>
  <c r="G630" i="1"/>
  <c r="F630" i="1"/>
  <c r="G629" i="1"/>
  <c r="F629" i="1"/>
  <c r="G628" i="1"/>
  <c r="F628" i="1"/>
  <c r="G627" i="1"/>
  <c r="F627" i="1"/>
  <c r="G626" i="1"/>
  <c r="F626" i="1"/>
  <c r="G625" i="1"/>
  <c r="F625" i="1"/>
  <c r="G624" i="1"/>
  <c r="F624" i="1"/>
  <c r="G623" i="1"/>
  <c r="F623" i="1"/>
  <c r="G622" i="1"/>
  <c r="F622" i="1"/>
  <c r="G621" i="1"/>
  <c r="F621" i="1"/>
  <c r="G620" i="1"/>
  <c r="F620" i="1"/>
  <c r="G619" i="1"/>
  <c r="F619" i="1"/>
  <c r="G618" i="1"/>
  <c r="F618" i="1"/>
  <c r="G617" i="1"/>
  <c r="F617" i="1"/>
  <c r="G616" i="1"/>
  <c r="F616" i="1"/>
  <c r="G615" i="1"/>
  <c r="F615" i="1"/>
  <c r="G614" i="1"/>
  <c r="F614" i="1"/>
  <c r="G613" i="1"/>
  <c r="F613" i="1"/>
  <c r="G612" i="1"/>
  <c r="F612" i="1"/>
  <c r="G611" i="1"/>
  <c r="F611" i="1"/>
  <c r="G610" i="1"/>
  <c r="F610" i="1"/>
  <c r="G609" i="1"/>
  <c r="F609" i="1"/>
  <c r="G608" i="1"/>
  <c r="F608" i="1"/>
  <c r="G607" i="1"/>
  <c r="F607" i="1"/>
  <c r="G606" i="1"/>
  <c r="F606" i="1"/>
  <c r="G605" i="1"/>
  <c r="F605" i="1"/>
  <c r="G604" i="1"/>
  <c r="F604" i="1"/>
  <c r="G603" i="1"/>
  <c r="F603" i="1"/>
  <c r="G602" i="1"/>
  <c r="F602" i="1"/>
  <c r="G601" i="1"/>
  <c r="F601" i="1"/>
  <c r="G600" i="1"/>
  <c r="F600" i="1"/>
  <c r="G599" i="1"/>
  <c r="F599" i="1"/>
  <c r="G598" i="1"/>
  <c r="F598" i="1"/>
  <c r="G597" i="1"/>
  <c r="F597" i="1"/>
  <c r="G596" i="1"/>
  <c r="F596" i="1"/>
  <c r="G595" i="1"/>
  <c r="F595" i="1"/>
  <c r="G594" i="1"/>
  <c r="F594" i="1"/>
  <c r="G593" i="1"/>
  <c r="F593" i="1"/>
  <c r="G592" i="1"/>
  <c r="F592" i="1"/>
  <c r="G591" i="1"/>
  <c r="F591" i="1"/>
  <c r="G590" i="1"/>
  <c r="F590" i="1"/>
  <c r="G589" i="1"/>
  <c r="F589" i="1"/>
  <c r="G588" i="1"/>
  <c r="F588" i="1"/>
  <c r="G587" i="1"/>
  <c r="F587" i="1"/>
  <c r="G586" i="1"/>
  <c r="F586" i="1"/>
  <c r="G585" i="1"/>
  <c r="F585" i="1"/>
  <c r="G584" i="1"/>
  <c r="F584" i="1"/>
  <c r="G583" i="1"/>
  <c r="F583" i="1"/>
  <c r="G582" i="1"/>
  <c r="F582" i="1"/>
  <c r="G581" i="1"/>
  <c r="F581" i="1"/>
  <c r="G580" i="1"/>
  <c r="F580" i="1"/>
  <c r="G579" i="1"/>
  <c r="F579" i="1"/>
  <c r="G578" i="1"/>
  <c r="F578" i="1"/>
  <c r="G577" i="1"/>
  <c r="F577" i="1"/>
  <c r="G576" i="1"/>
  <c r="F576" i="1"/>
  <c r="G575" i="1"/>
  <c r="F575" i="1"/>
  <c r="G574" i="1"/>
  <c r="F574" i="1"/>
  <c r="G573" i="1"/>
  <c r="F573" i="1"/>
  <c r="G572" i="1"/>
  <c r="F572" i="1"/>
  <c r="G571" i="1"/>
  <c r="F571" i="1"/>
  <c r="G570" i="1"/>
  <c r="F570" i="1"/>
  <c r="G569" i="1"/>
  <c r="F569" i="1"/>
  <c r="G568" i="1"/>
  <c r="F568" i="1"/>
  <c r="G567" i="1"/>
  <c r="F567" i="1"/>
  <c r="G566" i="1"/>
  <c r="F566" i="1"/>
  <c r="G565" i="1"/>
  <c r="F565" i="1"/>
  <c r="G564" i="1"/>
  <c r="F564" i="1"/>
  <c r="G563" i="1"/>
  <c r="F563" i="1"/>
  <c r="G562" i="1"/>
  <c r="F562" i="1"/>
  <c r="G561" i="1"/>
  <c r="F561" i="1"/>
  <c r="G560" i="1"/>
  <c r="F560" i="1"/>
  <c r="G559" i="1"/>
  <c r="F559" i="1"/>
  <c r="G558" i="1"/>
  <c r="F558" i="1"/>
  <c r="G557" i="1"/>
  <c r="F557" i="1"/>
  <c r="G556" i="1"/>
  <c r="F556" i="1"/>
  <c r="G555" i="1"/>
  <c r="F555" i="1"/>
  <c r="G554" i="1"/>
  <c r="F554" i="1"/>
  <c r="G553" i="1"/>
  <c r="F553" i="1"/>
  <c r="G552" i="1"/>
  <c r="F552" i="1"/>
  <c r="G551" i="1"/>
  <c r="F551" i="1"/>
  <c r="G550" i="1"/>
  <c r="F550" i="1"/>
  <c r="G549" i="1"/>
  <c r="F549" i="1"/>
  <c r="G548" i="1"/>
  <c r="F548" i="1"/>
  <c r="G547" i="1"/>
  <c r="F547" i="1"/>
  <c r="G546" i="1"/>
  <c r="F546" i="1"/>
  <c r="G545" i="1"/>
  <c r="F545" i="1"/>
  <c r="G544" i="1"/>
  <c r="F544" i="1"/>
  <c r="G543" i="1"/>
  <c r="F543" i="1"/>
  <c r="G542" i="1"/>
  <c r="F542" i="1"/>
  <c r="G541" i="1"/>
  <c r="F541" i="1"/>
  <c r="G540" i="1"/>
  <c r="F540" i="1"/>
  <c r="G539" i="1"/>
  <c r="F539" i="1"/>
  <c r="G538" i="1"/>
  <c r="F538" i="1"/>
  <c r="G537" i="1"/>
  <c r="F537" i="1"/>
  <c r="G536" i="1"/>
  <c r="F536" i="1"/>
  <c r="G535" i="1"/>
  <c r="F535" i="1"/>
  <c r="G534" i="1"/>
  <c r="F534" i="1"/>
  <c r="G533" i="1"/>
  <c r="F533" i="1"/>
  <c r="G532" i="1"/>
  <c r="F532" i="1"/>
  <c r="G531" i="1"/>
  <c r="F531" i="1"/>
  <c r="G530" i="1"/>
  <c r="F530" i="1"/>
  <c r="G529" i="1"/>
  <c r="F529" i="1"/>
  <c r="G528" i="1"/>
  <c r="F528" i="1"/>
  <c r="G527" i="1"/>
  <c r="F527" i="1"/>
  <c r="G526" i="1"/>
  <c r="F526" i="1"/>
  <c r="G525" i="1"/>
  <c r="F525" i="1"/>
  <c r="G524" i="1"/>
  <c r="F524" i="1"/>
  <c r="G523" i="1"/>
  <c r="F523" i="1"/>
  <c r="G522" i="1"/>
  <c r="F522" i="1"/>
  <c r="G521" i="1"/>
  <c r="F521" i="1"/>
  <c r="G520" i="1"/>
  <c r="F520" i="1"/>
  <c r="G519" i="1"/>
  <c r="F519" i="1"/>
  <c r="G518" i="1"/>
  <c r="F518" i="1"/>
  <c r="G517" i="1"/>
  <c r="F517" i="1"/>
  <c r="G516" i="1"/>
  <c r="F516" i="1"/>
  <c r="G515" i="1"/>
  <c r="F515" i="1"/>
  <c r="G514" i="1"/>
  <c r="F514" i="1"/>
  <c r="G513" i="1"/>
  <c r="F513" i="1"/>
  <c r="G512" i="1"/>
  <c r="F512" i="1"/>
  <c r="G511" i="1"/>
  <c r="F511" i="1"/>
  <c r="G510" i="1"/>
  <c r="F510" i="1"/>
  <c r="G509" i="1"/>
  <c r="F509" i="1"/>
  <c r="G508" i="1"/>
  <c r="F508" i="1"/>
  <c r="G507" i="1"/>
  <c r="F507" i="1"/>
  <c r="G506" i="1"/>
  <c r="F506" i="1"/>
  <c r="G505" i="1"/>
  <c r="F505" i="1"/>
  <c r="G504" i="1"/>
  <c r="F504" i="1"/>
  <c r="G503" i="1"/>
  <c r="F503" i="1"/>
  <c r="G502" i="1"/>
  <c r="F502" i="1"/>
  <c r="G501" i="1"/>
  <c r="F501" i="1"/>
  <c r="G500" i="1"/>
  <c r="F500" i="1"/>
  <c r="G499" i="1"/>
  <c r="F499" i="1"/>
  <c r="G498" i="1"/>
  <c r="F498" i="1"/>
  <c r="G497" i="1"/>
  <c r="F497" i="1"/>
  <c r="G496" i="1"/>
  <c r="F496" i="1"/>
  <c r="G495" i="1"/>
  <c r="F495" i="1"/>
  <c r="G494" i="1"/>
  <c r="F494" i="1"/>
  <c r="G493" i="1"/>
  <c r="F493" i="1"/>
  <c r="G492" i="1"/>
  <c r="F492" i="1"/>
  <c r="G491" i="1"/>
  <c r="F491" i="1"/>
  <c r="G490" i="1"/>
  <c r="F490" i="1"/>
  <c r="G489" i="1"/>
  <c r="F489" i="1"/>
  <c r="G488" i="1"/>
  <c r="F488" i="1"/>
  <c r="G487" i="1"/>
  <c r="F487" i="1"/>
  <c r="G486" i="1"/>
  <c r="F486" i="1"/>
  <c r="G485" i="1"/>
  <c r="F485" i="1"/>
  <c r="G484" i="1"/>
  <c r="F484" i="1"/>
  <c r="G483" i="1"/>
  <c r="F483" i="1"/>
  <c r="G482" i="1"/>
  <c r="F482" i="1"/>
  <c r="G481" i="1"/>
  <c r="F481" i="1"/>
  <c r="G480" i="1"/>
  <c r="F480" i="1"/>
  <c r="G479" i="1"/>
  <c r="F479" i="1"/>
  <c r="G478" i="1"/>
  <c r="F478" i="1"/>
  <c r="G477" i="1"/>
  <c r="F477" i="1"/>
  <c r="G476" i="1"/>
  <c r="F476" i="1"/>
  <c r="G475" i="1"/>
  <c r="F475" i="1"/>
  <c r="G474" i="1"/>
  <c r="F474" i="1"/>
  <c r="G473" i="1"/>
  <c r="F473" i="1"/>
  <c r="G472" i="1"/>
  <c r="F472" i="1"/>
  <c r="G471" i="1"/>
  <c r="F471" i="1"/>
  <c r="G470" i="1"/>
  <c r="F470" i="1"/>
  <c r="G469" i="1"/>
  <c r="F469" i="1"/>
  <c r="G468" i="1"/>
  <c r="F468" i="1"/>
  <c r="G467" i="1"/>
  <c r="F467" i="1"/>
  <c r="G466" i="1"/>
  <c r="F466" i="1"/>
  <c r="G465" i="1"/>
  <c r="F465" i="1"/>
  <c r="G464" i="1"/>
  <c r="F464" i="1"/>
  <c r="G463" i="1"/>
  <c r="F463" i="1"/>
  <c r="G462" i="1"/>
  <c r="F462" i="1"/>
  <c r="G461" i="1"/>
  <c r="F461" i="1"/>
  <c r="G460" i="1"/>
  <c r="F460" i="1"/>
  <c r="G459" i="1"/>
  <c r="F459" i="1"/>
  <c r="G458" i="1"/>
  <c r="F458" i="1"/>
  <c r="G457" i="1"/>
  <c r="F457" i="1"/>
  <c r="G456" i="1"/>
  <c r="F456" i="1"/>
  <c r="G455" i="1"/>
  <c r="F455" i="1"/>
  <c r="G454" i="1"/>
  <c r="F454" i="1"/>
  <c r="G453" i="1"/>
  <c r="F453" i="1"/>
  <c r="G452" i="1"/>
  <c r="F452" i="1"/>
  <c r="G451" i="1"/>
  <c r="F451" i="1"/>
  <c r="G450" i="1"/>
  <c r="F450" i="1"/>
  <c r="G449" i="1"/>
  <c r="F449" i="1"/>
  <c r="G448" i="1"/>
  <c r="F448" i="1"/>
  <c r="G447" i="1"/>
  <c r="F447" i="1"/>
  <c r="G446" i="1"/>
  <c r="F446" i="1"/>
  <c r="G445" i="1"/>
  <c r="F445" i="1"/>
  <c r="G444" i="1"/>
  <c r="F444" i="1"/>
  <c r="G443" i="1"/>
  <c r="F443" i="1"/>
  <c r="G442" i="1"/>
  <c r="F442" i="1"/>
  <c r="G441" i="1"/>
  <c r="F441" i="1"/>
  <c r="G440" i="1"/>
  <c r="F440" i="1"/>
  <c r="G439" i="1"/>
  <c r="F439" i="1"/>
  <c r="G438" i="1"/>
  <c r="F438" i="1"/>
  <c r="G437" i="1"/>
  <c r="F437" i="1"/>
  <c r="G436" i="1"/>
  <c r="F436" i="1"/>
  <c r="G435" i="1"/>
  <c r="F435" i="1"/>
  <c r="G434" i="1"/>
  <c r="F434" i="1"/>
  <c r="G433" i="1"/>
  <c r="F433" i="1"/>
  <c r="G432" i="1"/>
  <c r="F432" i="1"/>
  <c r="G431" i="1"/>
  <c r="F431" i="1"/>
  <c r="G430" i="1"/>
  <c r="F430" i="1"/>
  <c r="G429" i="1"/>
  <c r="F429" i="1"/>
  <c r="G428" i="1"/>
  <c r="F428" i="1"/>
  <c r="G427" i="1"/>
  <c r="F427" i="1"/>
  <c r="G426" i="1"/>
  <c r="F426" i="1"/>
  <c r="G425" i="1"/>
  <c r="F425" i="1"/>
  <c r="G424" i="1"/>
  <c r="F424" i="1"/>
  <c r="G423" i="1"/>
  <c r="F423" i="1"/>
  <c r="G422" i="1"/>
  <c r="F422" i="1"/>
  <c r="G421" i="1"/>
  <c r="F421" i="1"/>
  <c r="G420" i="1"/>
  <c r="F420" i="1"/>
  <c r="G419" i="1"/>
  <c r="F419" i="1"/>
  <c r="G418" i="1"/>
  <c r="F418" i="1"/>
  <c r="G417" i="1"/>
  <c r="F417" i="1"/>
  <c r="G416" i="1"/>
  <c r="F416" i="1"/>
  <c r="G415" i="1"/>
  <c r="F415" i="1"/>
  <c r="G414" i="1"/>
  <c r="F414" i="1"/>
  <c r="G413" i="1"/>
  <c r="F413" i="1"/>
  <c r="G412" i="1"/>
  <c r="F412" i="1"/>
  <c r="G411" i="1"/>
  <c r="F411" i="1"/>
  <c r="G410" i="1"/>
  <c r="F410" i="1"/>
  <c r="G409" i="1"/>
  <c r="F409" i="1"/>
  <c r="G408" i="1"/>
  <c r="F408" i="1"/>
  <c r="G407" i="1"/>
  <c r="F407" i="1"/>
  <c r="G406" i="1"/>
  <c r="F406" i="1"/>
  <c r="G405" i="1"/>
  <c r="F405" i="1"/>
  <c r="G404" i="1"/>
  <c r="F404" i="1"/>
  <c r="G403" i="1"/>
  <c r="F403" i="1"/>
  <c r="G402" i="1"/>
  <c r="F402" i="1"/>
  <c r="G401" i="1"/>
  <c r="F401" i="1"/>
  <c r="G400" i="1"/>
  <c r="F400" i="1"/>
  <c r="G399" i="1"/>
  <c r="F399" i="1"/>
  <c r="G398" i="1"/>
  <c r="F398" i="1"/>
  <c r="G397" i="1"/>
  <c r="F397" i="1"/>
  <c r="G396" i="1"/>
  <c r="F396" i="1"/>
  <c r="G395" i="1"/>
  <c r="F395" i="1"/>
  <c r="G394" i="1"/>
  <c r="F394" i="1"/>
  <c r="G393" i="1"/>
  <c r="F393" i="1"/>
  <c r="G392" i="1"/>
  <c r="F392" i="1"/>
  <c r="G391" i="1"/>
  <c r="F391" i="1"/>
  <c r="G390" i="1"/>
  <c r="F390" i="1"/>
  <c r="G389" i="1"/>
  <c r="F389" i="1"/>
  <c r="G388" i="1"/>
  <c r="F388" i="1"/>
  <c r="G387" i="1"/>
  <c r="F387" i="1"/>
  <c r="G386" i="1"/>
  <c r="F386" i="1"/>
  <c r="G385" i="1"/>
  <c r="F385" i="1"/>
  <c r="G384" i="1"/>
  <c r="F384" i="1"/>
  <c r="G383" i="1"/>
  <c r="F383" i="1"/>
  <c r="G382" i="1"/>
  <c r="F382" i="1"/>
  <c r="G381" i="1"/>
  <c r="F381" i="1"/>
  <c r="G380" i="1"/>
  <c r="F380" i="1"/>
  <c r="G379" i="1"/>
  <c r="F379" i="1"/>
  <c r="G378" i="1"/>
  <c r="F378" i="1"/>
  <c r="G377" i="1"/>
  <c r="F377" i="1"/>
  <c r="G376" i="1"/>
  <c r="F376" i="1"/>
  <c r="G375" i="1"/>
  <c r="F375" i="1"/>
  <c r="G374" i="1"/>
  <c r="F374" i="1"/>
  <c r="G373" i="1"/>
  <c r="F373" i="1"/>
  <c r="G372" i="1"/>
  <c r="F372" i="1"/>
  <c r="G371" i="1"/>
  <c r="F371" i="1"/>
  <c r="G370" i="1"/>
  <c r="F370" i="1"/>
  <c r="G369" i="1"/>
  <c r="F369" i="1"/>
  <c r="G368" i="1"/>
  <c r="F368" i="1"/>
  <c r="G367" i="1"/>
  <c r="F367" i="1"/>
  <c r="G366" i="1"/>
  <c r="F366" i="1"/>
  <c r="G365" i="1"/>
  <c r="F365" i="1"/>
  <c r="G364" i="1"/>
  <c r="F364" i="1"/>
  <c r="G363" i="1"/>
  <c r="F363" i="1"/>
  <c r="G362" i="1"/>
  <c r="F362" i="1"/>
  <c r="G361" i="1"/>
  <c r="F361" i="1"/>
  <c r="G360" i="1"/>
  <c r="F360" i="1"/>
  <c r="G359" i="1"/>
  <c r="F359" i="1"/>
  <c r="G358" i="1"/>
  <c r="F358" i="1"/>
  <c r="G357" i="1"/>
  <c r="F357" i="1"/>
  <c r="G356" i="1"/>
  <c r="F356" i="1"/>
  <c r="G355" i="1"/>
  <c r="F355" i="1"/>
  <c r="G354" i="1"/>
  <c r="F354" i="1"/>
  <c r="G353" i="1"/>
  <c r="F353" i="1"/>
  <c r="G352" i="1"/>
  <c r="F352" i="1"/>
  <c r="G351" i="1"/>
  <c r="F351" i="1"/>
  <c r="G350" i="1"/>
  <c r="F350" i="1"/>
  <c r="G349" i="1"/>
  <c r="F349" i="1"/>
  <c r="G348" i="1"/>
  <c r="F348" i="1"/>
  <c r="G347" i="1"/>
  <c r="F347" i="1"/>
  <c r="G346" i="1"/>
  <c r="F346" i="1"/>
  <c r="G345" i="1"/>
  <c r="F345" i="1"/>
  <c r="G344" i="1"/>
  <c r="F344" i="1"/>
  <c r="G343" i="1"/>
  <c r="F343" i="1"/>
  <c r="G342" i="1"/>
  <c r="F342" i="1"/>
  <c r="G341" i="1"/>
  <c r="F341" i="1"/>
  <c r="G340" i="1"/>
  <c r="F340" i="1"/>
  <c r="G339" i="1"/>
  <c r="F339" i="1"/>
  <c r="G338" i="1"/>
  <c r="F338" i="1"/>
  <c r="G337" i="1"/>
  <c r="F337" i="1"/>
  <c r="G336" i="1"/>
  <c r="F336" i="1"/>
  <c r="G335" i="1"/>
  <c r="F335" i="1"/>
  <c r="G334" i="1"/>
  <c r="F334" i="1"/>
  <c r="G333" i="1"/>
  <c r="F333" i="1"/>
  <c r="G332" i="1"/>
  <c r="F332" i="1"/>
  <c r="G331" i="1"/>
  <c r="F331" i="1"/>
  <c r="G330" i="1"/>
  <c r="F330" i="1"/>
  <c r="G329" i="1"/>
  <c r="F329" i="1"/>
  <c r="G328" i="1"/>
  <c r="F328" i="1"/>
  <c r="G327" i="1"/>
  <c r="F327" i="1"/>
  <c r="G326" i="1"/>
  <c r="F326" i="1"/>
  <c r="G325" i="1"/>
  <c r="F325" i="1"/>
  <c r="G324" i="1"/>
  <c r="F324" i="1"/>
  <c r="G323" i="1"/>
  <c r="F323" i="1"/>
  <c r="G322" i="1"/>
  <c r="F322" i="1"/>
  <c r="G321" i="1"/>
  <c r="F321" i="1"/>
  <c r="G320" i="1"/>
  <c r="F320" i="1"/>
  <c r="G319" i="1"/>
  <c r="F319" i="1"/>
  <c r="G318" i="1"/>
  <c r="F318" i="1"/>
  <c r="G317" i="1"/>
  <c r="F317" i="1"/>
  <c r="G316" i="1"/>
  <c r="F316" i="1"/>
  <c r="G315" i="1"/>
  <c r="F315" i="1"/>
  <c r="G314" i="1"/>
  <c r="F314" i="1"/>
  <c r="G313" i="1"/>
  <c r="F313" i="1"/>
  <c r="G312" i="1"/>
  <c r="F312" i="1"/>
  <c r="G311" i="1"/>
  <c r="F311" i="1"/>
  <c r="G310" i="1"/>
  <c r="F310" i="1"/>
  <c r="G309" i="1"/>
  <c r="F309" i="1"/>
  <c r="G308" i="1"/>
  <c r="F308" i="1"/>
  <c r="G307" i="1"/>
  <c r="F307" i="1"/>
  <c r="G306" i="1"/>
  <c r="F306" i="1"/>
  <c r="G305" i="1"/>
  <c r="F305" i="1"/>
  <c r="G304" i="1"/>
  <c r="F304" i="1"/>
  <c r="G303" i="1"/>
  <c r="F303" i="1"/>
  <c r="G302" i="1"/>
  <c r="F302" i="1"/>
  <c r="G301" i="1"/>
  <c r="F301" i="1"/>
  <c r="G300" i="1"/>
  <c r="F300" i="1"/>
  <c r="G299" i="1"/>
  <c r="F299" i="1"/>
  <c r="G298" i="1"/>
  <c r="F298" i="1"/>
  <c r="G297" i="1"/>
  <c r="F297" i="1"/>
  <c r="G296" i="1"/>
  <c r="F296" i="1"/>
  <c r="G295" i="1"/>
  <c r="F295" i="1"/>
  <c r="G294" i="1"/>
  <c r="F294" i="1"/>
  <c r="G293" i="1"/>
  <c r="F293" i="1"/>
  <c r="G292" i="1"/>
  <c r="F292" i="1"/>
  <c r="G291" i="1"/>
  <c r="F291" i="1"/>
  <c r="G290" i="1"/>
  <c r="F290" i="1"/>
  <c r="G289" i="1"/>
  <c r="F289" i="1"/>
  <c r="G288" i="1"/>
  <c r="F288" i="1"/>
  <c r="G287" i="1"/>
  <c r="F287" i="1"/>
  <c r="G286" i="1"/>
  <c r="F286" i="1"/>
  <c r="G285" i="1"/>
  <c r="F285" i="1"/>
  <c r="G284" i="1"/>
  <c r="F284" i="1"/>
  <c r="G283" i="1"/>
  <c r="F283" i="1"/>
  <c r="G282" i="1"/>
  <c r="F282" i="1"/>
  <c r="G281" i="1"/>
  <c r="F281" i="1"/>
  <c r="G280" i="1"/>
  <c r="F280" i="1"/>
  <c r="G279" i="1"/>
  <c r="F279" i="1"/>
  <c r="G278" i="1"/>
  <c r="F278" i="1"/>
  <c r="G277" i="1"/>
  <c r="F277" i="1"/>
  <c r="G276" i="1"/>
  <c r="F276" i="1"/>
  <c r="G275" i="1"/>
  <c r="F275" i="1"/>
  <c r="G274" i="1"/>
  <c r="F274" i="1"/>
  <c r="G273" i="1"/>
  <c r="F273" i="1"/>
  <c r="G272" i="1"/>
  <c r="F272" i="1"/>
  <c r="G271" i="1"/>
  <c r="F271" i="1"/>
  <c r="G270" i="1"/>
  <c r="F270" i="1"/>
  <c r="G269" i="1"/>
  <c r="F269" i="1"/>
  <c r="G268" i="1"/>
  <c r="F268" i="1"/>
  <c r="G267" i="1"/>
  <c r="F267" i="1"/>
  <c r="G266" i="1"/>
  <c r="F266" i="1"/>
  <c r="G265" i="1"/>
  <c r="F265" i="1"/>
  <c r="G264" i="1"/>
  <c r="F264" i="1"/>
  <c r="G263" i="1"/>
  <c r="F263" i="1"/>
  <c r="G262" i="1"/>
  <c r="F262" i="1"/>
  <c r="G261" i="1"/>
  <c r="F261" i="1"/>
  <c r="G260" i="1"/>
  <c r="F260" i="1"/>
  <c r="G259" i="1"/>
  <c r="F259" i="1"/>
  <c r="G258" i="1"/>
  <c r="F258" i="1"/>
  <c r="G257" i="1"/>
  <c r="F257" i="1"/>
  <c r="G256" i="1"/>
  <c r="F256" i="1"/>
  <c r="G255" i="1"/>
  <c r="F255" i="1"/>
  <c r="G254" i="1"/>
  <c r="F254" i="1"/>
  <c r="G253" i="1"/>
  <c r="F253" i="1"/>
  <c r="G252" i="1"/>
  <c r="F252" i="1"/>
  <c r="G251" i="1"/>
  <c r="F251" i="1"/>
  <c r="G250" i="1"/>
  <c r="F250" i="1"/>
  <c r="G249" i="1"/>
  <c r="F249" i="1"/>
  <c r="G248" i="1"/>
  <c r="F248" i="1"/>
  <c r="G247" i="1"/>
  <c r="F247" i="1"/>
  <c r="G246" i="1"/>
  <c r="F246" i="1"/>
  <c r="G245" i="1"/>
  <c r="F245" i="1"/>
  <c r="G244" i="1"/>
  <c r="F244" i="1"/>
  <c r="G243" i="1"/>
  <c r="F243" i="1"/>
  <c r="G242" i="1"/>
  <c r="F242" i="1"/>
  <c r="G241" i="1"/>
  <c r="F241" i="1"/>
  <c r="G240" i="1"/>
  <c r="F240" i="1"/>
  <c r="G239" i="1"/>
  <c r="F239" i="1"/>
  <c r="G238" i="1"/>
  <c r="F238" i="1"/>
  <c r="G237" i="1"/>
  <c r="F237" i="1"/>
  <c r="G236" i="1"/>
  <c r="F236" i="1"/>
  <c r="G235" i="1"/>
  <c r="F235" i="1"/>
  <c r="G234" i="1"/>
  <c r="F234" i="1"/>
  <c r="G233" i="1"/>
  <c r="F233" i="1"/>
  <c r="G232" i="1"/>
  <c r="F232" i="1"/>
  <c r="G231" i="1"/>
  <c r="F231" i="1"/>
  <c r="G230" i="1"/>
  <c r="F230" i="1"/>
  <c r="G229" i="1"/>
  <c r="F229" i="1"/>
  <c r="G228" i="1"/>
  <c r="F228" i="1"/>
  <c r="G227" i="1"/>
  <c r="F227" i="1"/>
  <c r="G226" i="1"/>
  <c r="F226" i="1"/>
  <c r="G225" i="1"/>
  <c r="F225" i="1"/>
  <c r="G224" i="1"/>
  <c r="F224" i="1"/>
  <c r="G223" i="1"/>
  <c r="F223" i="1"/>
  <c r="G222" i="1"/>
  <c r="F222" i="1"/>
  <c r="G221" i="1"/>
  <c r="F221" i="1"/>
  <c r="G220" i="1"/>
  <c r="F220" i="1"/>
  <c r="G219" i="1"/>
  <c r="F219" i="1"/>
  <c r="G218" i="1"/>
  <c r="F218" i="1"/>
  <c r="G217" i="1"/>
  <c r="F217" i="1"/>
  <c r="G216" i="1"/>
  <c r="F216" i="1"/>
  <c r="G215" i="1"/>
  <c r="F215" i="1"/>
  <c r="G214" i="1"/>
  <c r="F214" i="1"/>
  <c r="G213" i="1"/>
  <c r="F213" i="1"/>
  <c r="G212" i="1"/>
  <c r="F212" i="1"/>
  <c r="G211" i="1"/>
  <c r="F211" i="1"/>
  <c r="G210" i="1"/>
  <c r="F210" i="1"/>
  <c r="G209" i="1"/>
  <c r="F209" i="1"/>
  <c r="G208" i="1"/>
  <c r="F208" i="1"/>
  <c r="G207" i="1"/>
  <c r="F207" i="1"/>
  <c r="G206" i="1"/>
  <c r="F206" i="1"/>
  <c r="G205" i="1"/>
  <c r="F205" i="1"/>
  <c r="G204" i="1"/>
  <c r="F204" i="1"/>
  <c r="G203" i="1"/>
  <c r="F203" i="1"/>
  <c r="G202" i="1"/>
  <c r="F202" i="1"/>
  <c r="G201" i="1"/>
  <c r="F201" i="1"/>
  <c r="G200" i="1"/>
  <c r="F200" i="1"/>
  <c r="G199" i="1"/>
  <c r="F199" i="1"/>
  <c r="G198" i="1"/>
  <c r="F198" i="1"/>
  <c r="G197" i="1"/>
  <c r="F197" i="1"/>
  <c r="G196" i="1"/>
  <c r="F196" i="1"/>
  <c r="G195" i="1"/>
  <c r="F195" i="1"/>
  <c r="G194" i="1"/>
  <c r="F194" i="1"/>
  <c r="G193" i="1"/>
  <c r="F193" i="1"/>
  <c r="G192" i="1"/>
  <c r="F192" i="1"/>
  <c r="G191" i="1"/>
  <c r="F191" i="1"/>
  <c r="G190" i="1"/>
  <c r="F190" i="1"/>
  <c r="G189" i="1"/>
  <c r="F189" i="1"/>
  <c r="G188" i="1"/>
  <c r="F188" i="1"/>
  <c r="G187" i="1"/>
  <c r="F187" i="1"/>
  <c r="G186" i="1"/>
  <c r="F186" i="1"/>
  <c r="G185" i="1"/>
  <c r="F185" i="1"/>
  <c r="G184" i="1"/>
  <c r="F184" i="1"/>
  <c r="G183" i="1"/>
  <c r="F183" i="1"/>
  <c r="G182" i="1"/>
  <c r="F182" i="1"/>
  <c r="G181" i="1"/>
  <c r="F181" i="1"/>
  <c r="G180" i="1"/>
  <c r="F180" i="1"/>
  <c r="G179" i="1"/>
  <c r="F179" i="1"/>
  <c r="G178" i="1"/>
  <c r="F178" i="1"/>
  <c r="G177" i="1"/>
  <c r="F177" i="1"/>
  <c r="G176" i="1"/>
  <c r="F176" i="1"/>
  <c r="G175" i="1"/>
  <c r="F175" i="1"/>
  <c r="G174" i="1"/>
  <c r="F174" i="1"/>
  <c r="G173" i="1"/>
  <c r="F173" i="1"/>
  <c r="G172" i="1"/>
  <c r="F172" i="1"/>
  <c r="G171" i="1"/>
  <c r="F171" i="1"/>
  <c r="G170" i="1"/>
  <c r="F170" i="1"/>
  <c r="G169" i="1"/>
  <c r="F169" i="1"/>
  <c r="G168" i="1"/>
  <c r="F168" i="1"/>
  <c r="G167" i="1"/>
  <c r="F167" i="1"/>
  <c r="G166" i="1"/>
  <c r="F166" i="1"/>
  <c r="G165" i="1"/>
  <c r="F165" i="1"/>
  <c r="G164" i="1"/>
  <c r="F164" i="1"/>
  <c r="G163" i="1"/>
  <c r="F163" i="1"/>
  <c r="G162" i="1"/>
  <c r="F162" i="1"/>
  <c r="G161" i="1"/>
  <c r="F161" i="1"/>
  <c r="G160" i="1"/>
  <c r="F160" i="1"/>
  <c r="G159" i="1"/>
  <c r="F159" i="1"/>
  <c r="G158" i="1"/>
  <c r="F158" i="1"/>
  <c r="G157" i="1"/>
  <c r="F157" i="1"/>
  <c r="G156" i="1"/>
  <c r="F156" i="1"/>
  <c r="G155" i="1"/>
  <c r="F155" i="1"/>
  <c r="G154" i="1"/>
  <c r="F154" i="1"/>
  <c r="G153" i="1"/>
  <c r="F153" i="1"/>
  <c r="G152" i="1"/>
  <c r="F152" i="1"/>
  <c r="G151" i="1"/>
  <c r="F151" i="1"/>
  <c r="G150" i="1"/>
  <c r="F150" i="1"/>
  <c r="G149" i="1"/>
  <c r="F149" i="1"/>
  <c r="G148" i="1"/>
  <c r="F148" i="1"/>
  <c r="G147" i="1"/>
  <c r="F147" i="1"/>
  <c r="G146" i="1"/>
  <c r="F146" i="1"/>
  <c r="G145" i="1"/>
  <c r="F145" i="1"/>
  <c r="G144" i="1"/>
  <c r="F144" i="1"/>
  <c r="G143" i="1"/>
  <c r="F143" i="1"/>
  <c r="G142" i="1"/>
  <c r="F142" i="1"/>
  <c r="G141" i="1"/>
  <c r="F141" i="1"/>
  <c r="G140" i="1"/>
  <c r="F140" i="1"/>
  <c r="G139" i="1"/>
  <c r="F139" i="1"/>
  <c r="G138" i="1"/>
  <c r="F138" i="1"/>
  <c r="G137" i="1"/>
  <c r="F137" i="1"/>
  <c r="G136" i="1"/>
  <c r="F136" i="1"/>
  <c r="G135" i="1"/>
  <c r="F135" i="1"/>
  <c r="G134" i="1"/>
  <c r="F134" i="1"/>
  <c r="G133" i="1"/>
  <c r="F133" i="1"/>
  <c r="G132" i="1"/>
  <c r="F132" i="1"/>
  <c r="G131" i="1"/>
  <c r="F131" i="1"/>
  <c r="G130" i="1"/>
  <c r="F130" i="1"/>
  <c r="G129" i="1"/>
  <c r="F129" i="1"/>
  <c r="G128" i="1"/>
  <c r="F128" i="1"/>
  <c r="G127" i="1"/>
  <c r="F127" i="1"/>
  <c r="G126" i="1"/>
  <c r="F126" i="1"/>
  <c r="G125" i="1"/>
  <c r="F125" i="1"/>
  <c r="G124" i="1"/>
  <c r="F124" i="1"/>
  <c r="G123" i="1"/>
  <c r="F123" i="1"/>
  <c r="G122" i="1"/>
  <c r="F122" i="1"/>
  <c r="G121" i="1"/>
  <c r="F121" i="1"/>
  <c r="G120" i="1"/>
  <c r="F120" i="1"/>
  <c r="G119" i="1"/>
  <c r="F119" i="1"/>
  <c r="G118" i="1"/>
  <c r="F118" i="1"/>
  <c r="G117" i="1"/>
  <c r="F117" i="1"/>
  <c r="G116" i="1"/>
  <c r="F116" i="1"/>
  <c r="G115" i="1"/>
  <c r="F115" i="1"/>
  <c r="G114" i="1"/>
  <c r="F114" i="1"/>
  <c r="G113" i="1"/>
  <c r="F113" i="1"/>
  <c r="G112" i="1"/>
  <c r="F112" i="1"/>
  <c r="G111" i="1"/>
  <c r="F111" i="1"/>
  <c r="G110" i="1"/>
  <c r="F110" i="1"/>
  <c r="G109" i="1"/>
  <c r="F109" i="1"/>
  <c r="G108" i="1"/>
  <c r="F108" i="1"/>
  <c r="G107" i="1"/>
  <c r="F107" i="1"/>
  <c r="G106" i="1"/>
  <c r="F106" i="1"/>
  <c r="G105" i="1"/>
  <c r="F105" i="1"/>
  <c r="G104" i="1"/>
  <c r="F104" i="1"/>
  <c r="G103" i="1"/>
  <c r="F103" i="1"/>
  <c r="G102" i="1"/>
  <c r="F102" i="1"/>
  <c r="G101" i="1"/>
  <c r="F101" i="1"/>
  <c r="G100" i="1"/>
  <c r="F100" i="1"/>
  <c r="G99" i="1"/>
  <c r="F99" i="1"/>
  <c r="G98" i="1"/>
  <c r="F98" i="1"/>
  <c r="G97" i="1"/>
  <c r="F97" i="1"/>
  <c r="G96" i="1"/>
  <c r="F96" i="1"/>
  <c r="G95" i="1"/>
  <c r="F95" i="1"/>
  <c r="G94" i="1"/>
  <c r="F94" i="1"/>
  <c r="G93" i="1"/>
  <c r="F93" i="1"/>
  <c r="G92" i="1"/>
  <c r="F92" i="1"/>
  <c r="G91" i="1"/>
  <c r="F91" i="1"/>
  <c r="G90" i="1"/>
  <c r="F90" i="1"/>
  <c r="G89" i="1"/>
  <c r="F89" i="1"/>
  <c r="G88" i="1"/>
  <c r="F88" i="1"/>
  <c r="G87" i="1"/>
  <c r="F87" i="1"/>
  <c r="G86" i="1"/>
  <c r="F86" i="1"/>
  <c r="G85" i="1"/>
  <c r="F85" i="1"/>
  <c r="G84" i="1"/>
  <c r="F84" i="1"/>
  <c r="G83" i="1"/>
  <c r="F83" i="1"/>
  <c r="G82" i="1"/>
  <c r="F82" i="1"/>
  <c r="G81" i="1"/>
  <c r="F81" i="1"/>
  <c r="G80" i="1"/>
  <c r="F80" i="1"/>
  <c r="G79" i="1"/>
  <c r="F79" i="1"/>
  <c r="G78" i="1"/>
  <c r="F78" i="1"/>
  <c r="G77" i="1"/>
  <c r="F77" i="1"/>
  <c r="G76" i="1"/>
  <c r="F76" i="1"/>
  <c r="G75" i="1"/>
  <c r="F75" i="1"/>
  <c r="G74" i="1"/>
  <c r="F74" i="1"/>
  <c r="G73" i="1"/>
  <c r="F73" i="1"/>
  <c r="G72" i="1"/>
  <c r="F72" i="1"/>
  <c r="G71" i="1"/>
  <c r="F71" i="1"/>
  <c r="G70" i="1"/>
  <c r="F70" i="1"/>
  <c r="G69" i="1"/>
  <c r="F69" i="1"/>
  <c r="G68" i="1"/>
  <c r="F68" i="1"/>
  <c r="G67" i="1"/>
  <c r="F67" i="1"/>
  <c r="G66" i="1"/>
  <c r="F66" i="1"/>
  <c r="G65" i="1"/>
  <c r="F65" i="1"/>
  <c r="G64" i="1"/>
  <c r="F64" i="1"/>
  <c r="G63" i="1"/>
  <c r="F63" i="1"/>
  <c r="G62" i="1"/>
  <c r="F62" i="1"/>
  <c r="G61" i="1"/>
  <c r="F61" i="1"/>
  <c r="G60" i="1"/>
  <c r="F60" i="1"/>
  <c r="G59" i="1"/>
  <c r="F59" i="1"/>
  <c r="G58" i="1"/>
  <c r="F58" i="1"/>
  <c r="G57" i="1"/>
  <c r="F57" i="1"/>
  <c r="G56" i="1"/>
  <c r="F56" i="1"/>
  <c r="G55" i="1"/>
  <c r="F55" i="1"/>
  <c r="G54" i="1"/>
  <c r="F54" i="1"/>
  <c r="G53" i="1"/>
  <c r="F53" i="1"/>
  <c r="G52" i="1"/>
  <c r="F52" i="1"/>
  <c r="G51" i="1"/>
  <c r="F51" i="1"/>
  <c r="G50" i="1"/>
  <c r="F50" i="1"/>
  <c r="G49" i="1"/>
  <c r="F49" i="1"/>
  <c r="G48" i="1"/>
  <c r="F48" i="1"/>
  <c r="G47" i="1"/>
  <c r="F47" i="1"/>
  <c r="G46" i="1"/>
  <c r="F46" i="1"/>
  <c r="G45" i="1"/>
  <c r="F45" i="1"/>
  <c r="G44" i="1"/>
  <c r="F44" i="1"/>
  <c r="G43" i="1"/>
  <c r="F43" i="1"/>
  <c r="G42" i="1"/>
  <c r="F42" i="1"/>
  <c r="G41" i="1"/>
  <c r="F41" i="1"/>
  <c r="G40" i="1"/>
  <c r="F40" i="1"/>
  <c r="G39" i="1"/>
  <c r="F39" i="1"/>
  <c r="G38" i="1"/>
  <c r="F38" i="1"/>
  <c r="G37" i="1"/>
  <c r="F37" i="1"/>
  <c r="G36" i="1"/>
  <c r="F36" i="1"/>
  <c r="G35" i="1"/>
  <c r="F35" i="1"/>
  <c r="G34" i="1"/>
  <c r="F34" i="1"/>
  <c r="G33" i="1"/>
  <c r="F33" i="1"/>
  <c r="G32" i="1"/>
  <c r="F32" i="1"/>
  <c r="G31" i="1"/>
  <c r="F31" i="1"/>
  <c r="G30" i="1"/>
  <c r="F30" i="1"/>
  <c r="G29" i="1"/>
  <c r="F29" i="1"/>
  <c r="G28" i="1"/>
  <c r="F28" i="1"/>
  <c r="G27" i="1"/>
  <c r="F27" i="1"/>
  <c r="G26" i="1"/>
  <c r="F26" i="1"/>
  <c r="G25" i="1"/>
  <c r="F25" i="1"/>
  <c r="G24" i="1"/>
  <c r="F24" i="1"/>
  <c r="G23" i="1"/>
  <c r="F23" i="1"/>
  <c r="G22" i="1"/>
  <c r="F22" i="1"/>
  <c r="G21" i="1"/>
  <c r="F21" i="1"/>
  <c r="G20" i="1"/>
  <c r="F20" i="1"/>
  <c r="G19" i="1"/>
  <c r="F19" i="1"/>
  <c r="G18" i="1"/>
  <c r="F18" i="1"/>
  <c r="G17" i="1"/>
  <c r="F17" i="1"/>
  <c r="G16" i="1"/>
  <c r="F16" i="1"/>
  <c r="G15" i="1"/>
  <c r="F15" i="1"/>
  <c r="G14" i="1"/>
  <c r="F14" i="1"/>
  <c r="G13" i="1"/>
  <c r="F13" i="1"/>
  <c r="G12" i="1"/>
  <c r="F12" i="1"/>
  <c r="G11" i="1"/>
  <c r="F11" i="1"/>
  <c r="G10" i="1"/>
  <c r="F10" i="1"/>
  <c r="G9" i="1"/>
  <c r="F9" i="1"/>
  <c r="G8" i="1"/>
  <c r="F8" i="1"/>
  <c r="G7" i="1"/>
  <c r="F7" i="1"/>
  <c r="G6" i="1"/>
  <c r="F6" i="1"/>
  <c r="G5" i="1"/>
  <c r="F5" i="1"/>
  <c r="G4" i="1"/>
  <c r="F4" i="1"/>
  <c r="G3" i="1"/>
  <c r="F3" i="1"/>
  <c r="G2" i="1"/>
  <c r="F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Lauren Morrison</author>
    <author>Amanda Piper</author>
    <author>Katherine Revius</author>
  </authors>
  <commentList>
    <comment ref="C1" authorId="0" shapeId="0" xr:uid="{7463F69A-F17E-47B2-BE58-E9FE140E62E1}">
      <text>
        <r>
          <rPr>
            <b/>
            <sz val="8"/>
            <color indexed="81"/>
            <rFont val="Tahoma"/>
            <family val="2"/>
          </rPr>
          <t>Lauren Morrison:</t>
        </r>
        <r>
          <rPr>
            <sz val="8"/>
            <color indexed="81"/>
            <rFont val="Tahoma"/>
            <family val="2"/>
          </rPr>
          <t xml:space="preserve">
0 = male
1= female</t>
        </r>
      </text>
    </comment>
    <comment ref="L1" authorId="1" shapeId="0" xr:uid="{0A221CF0-C93B-4423-842E-85C86F2D9C79}">
      <text>
        <r>
          <rPr>
            <b/>
            <sz val="9"/>
            <color rgb="FF000000"/>
            <rFont val="Tahoma"/>
            <family val="2"/>
          </rPr>
          <t>Amanda Piper:</t>
        </r>
        <r>
          <rPr>
            <sz val="9"/>
            <color rgb="FF000000"/>
            <rFont val="Tahoma"/>
            <family val="2"/>
          </rPr>
          <t xml:space="preserve">
</t>
        </r>
        <r>
          <rPr>
            <sz val="9"/>
            <color rgb="FF000000"/>
            <rFont val="Tahoma"/>
            <family val="2"/>
          </rPr>
          <t xml:space="preserve">POD =  -0.5
</t>
        </r>
        <r>
          <rPr>
            <sz val="9"/>
            <color rgb="FF000000"/>
            <rFont val="Tahoma"/>
            <family val="2"/>
          </rPr>
          <t>DOD=  0.5</t>
        </r>
      </text>
    </comment>
    <comment ref="M1" authorId="1" shapeId="0" xr:uid="{CB632B79-76F5-40B1-A2D1-232EAB290F59}">
      <text>
        <r>
          <rPr>
            <b/>
            <sz val="9"/>
            <color rgb="FF000000"/>
            <rFont val="Tahoma"/>
            <family val="2"/>
          </rPr>
          <t>Amanda Piper:</t>
        </r>
        <r>
          <rPr>
            <sz val="9"/>
            <color rgb="FF000000"/>
            <rFont val="Tahoma"/>
            <family val="2"/>
          </rPr>
          <t xml:space="preserve">
</t>
        </r>
        <r>
          <rPr>
            <sz val="9"/>
            <color rgb="FF000000"/>
            <rFont val="Tahoma"/>
            <family val="2"/>
          </rPr>
          <t xml:space="preserve">Matched(same) = 0.5
</t>
        </r>
        <r>
          <rPr>
            <sz val="9"/>
            <color rgb="FF000000"/>
            <rFont val="Tahoma"/>
            <family val="2"/>
          </rPr>
          <t>Non-matched = -0.5</t>
        </r>
      </text>
    </comment>
    <comment ref="P1" authorId="2" shapeId="0" xr:uid="{74B58969-F7D7-46C9-AA1E-37B784C9A8AB}">
      <text>
        <r>
          <rPr>
            <b/>
            <sz val="10"/>
            <color rgb="FF000000"/>
            <rFont val="Tahoma"/>
            <family val="2"/>
          </rPr>
          <t>Katherine Revius:</t>
        </r>
        <r>
          <rPr>
            <sz val="10"/>
            <color rgb="FF000000"/>
            <rFont val="Tahoma"/>
            <family val="2"/>
          </rPr>
          <t xml:space="preserve">
</t>
        </r>
        <r>
          <rPr>
            <sz val="10"/>
            <color rgb="FF000000"/>
            <rFont val="Tahoma"/>
            <family val="2"/>
          </rPr>
          <t>0= No 1=Yes</t>
        </r>
      </text>
    </comment>
    <comment ref="S1" authorId="2" shapeId="0" xr:uid="{B0D7F962-F9BC-481E-86C2-41781653E26C}">
      <text>
        <r>
          <rPr>
            <b/>
            <sz val="10"/>
            <color rgb="FF000000"/>
            <rFont val="Tahoma"/>
            <family val="2"/>
          </rPr>
          <t>Katherine Revius:</t>
        </r>
        <r>
          <rPr>
            <sz val="10"/>
            <color rgb="FF000000"/>
            <rFont val="Tahoma"/>
            <family val="2"/>
          </rPr>
          <t xml:space="preserve">
</t>
        </r>
        <r>
          <rPr>
            <sz val="10"/>
            <color rgb="FF000000"/>
            <rFont val="Tahoma"/>
            <family val="2"/>
          </rPr>
          <t xml:space="preserve">0=minimal (&lt;5 clauses)
</t>
        </r>
        <r>
          <rPr>
            <sz val="10"/>
            <color rgb="FF000000"/>
            <rFont val="Tahoma"/>
            <family val="2"/>
          </rPr>
          <t>1=significant discourse  (&gt;5 clauses)</t>
        </r>
      </text>
    </comment>
    <comment ref="X1" authorId="2" shapeId="0" xr:uid="{B9CC818F-F9D3-4104-BBC2-D37845888F10}">
      <text>
        <r>
          <rPr>
            <b/>
            <sz val="10"/>
            <color rgb="FF000000"/>
            <rFont val="Tahoma"/>
            <family val="2"/>
          </rPr>
          <t>Katherine Revius:</t>
        </r>
        <r>
          <rPr>
            <sz val="10"/>
            <color rgb="FF000000"/>
            <rFont val="Tahoma"/>
            <family val="2"/>
          </rPr>
          <t xml:space="preserve">
</t>
        </r>
        <r>
          <rPr>
            <sz val="10"/>
            <color rgb="FF000000"/>
            <rFont val="Tahoma"/>
            <family val="2"/>
          </rPr>
          <t>0=POD reversal 1=DOD reversal</t>
        </r>
      </text>
    </comment>
    <comment ref="AD1" authorId="1" shapeId="0" xr:uid="{7DA4E30D-7F14-4BA2-805A-C6014C6AABD2}">
      <text>
        <r>
          <rPr>
            <b/>
            <sz val="9"/>
            <color rgb="FF000000"/>
            <rFont val="Tahoma"/>
            <family val="2"/>
          </rPr>
          <t>Amanda Piper:</t>
        </r>
        <r>
          <rPr>
            <sz val="9"/>
            <color rgb="FF000000"/>
            <rFont val="Tahoma"/>
            <family val="2"/>
          </rPr>
          <t xml:space="preserve">
</t>
        </r>
        <r>
          <rPr>
            <sz val="9"/>
            <color rgb="FF000000"/>
            <rFont val="Tahoma"/>
            <family val="2"/>
          </rPr>
          <t xml:space="preserve">POD = 0
</t>
        </r>
        <r>
          <rPr>
            <sz val="9"/>
            <color rgb="FF000000"/>
            <rFont val="Tahoma"/>
            <family val="2"/>
          </rPr>
          <t>DOD = 1</t>
        </r>
      </text>
    </comment>
    <comment ref="AE1" authorId="1" shapeId="0" xr:uid="{0E37F64A-9198-4C47-987C-7C4A887442E2}">
      <text>
        <r>
          <rPr>
            <b/>
            <sz val="9"/>
            <color rgb="FF000000"/>
            <rFont val="Tahoma"/>
            <family val="2"/>
          </rPr>
          <t>Amanda Piper:</t>
        </r>
        <r>
          <rPr>
            <sz val="9"/>
            <color rgb="FF000000"/>
            <rFont val="Tahoma"/>
            <family val="2"/>
          </rPr>
          <t xml:space="preserve">
</t>
        </r>
        <r>
          <rPr>
            <sz val="9"/>
            <color rgb="FF000000"/>
            <rFont val="Tahoma"/>
            <family val="2"/>
          </rPr>
          <t xml:space="preserve">YES  = 1   (response uses same form as prime)
</t>
        </r>
        <r>
          <rPr>
            <sz val="9"/>
            <color rgb="FF000000"/>
            <rFont val="Tahoma"/>
            <family val="2"/>
          </rPr>
          <t>NO = 0</t>
        </r>
      </text>
    </comment>
    <comment ref="K17" authorId="2" shapeId="0" xr:uid="{493C1F6B-BA5B-4CF7-9811-9F031822965D}">
      <text>
        <r>
          <rPr>
            <b/>
            <sz val="10"/>
            <color rgb="FF000000"/>
            <rFont val="Tahoma"/>
            <family val="2"/>
          </rPr>
          <t>Katherine Revius:</t>
        </r>
        <r>
          <rPr>
            <sz val="10"/>
            <color rgb="FF000000"/>
            <rFont val="Tahoma"/>
            <family val="2"/>
          </rPr>
          <t xml:space="preserve">
</t>
        </r>
        <r>
          <rPr>
            <sz val="10"/>
            <color rgb="FF000000"/>
            <rFont val="Tahoma"/>
            <family val="2"/>
          </rPr>
          <t>Target verb 'showed' not provided. Participant used 'passed'</t>
        </r>
      </text>
    </comment>
    <comment ref="M17" authorId="2" shapeId="0" xr:uid="{293066A8-204A-4A32-B383-E7937E938CE5}">
      <text>
        <r>
          <rPr>
            <b/>
            <sz val="10"/>
            <color rgb="FF000000"/>
            <rFont val="Tahoma"/>
            <family val="2"/>
          </rPr>
          <t>Katherine Revius:</t>
        </r>
        <r>
          <rPr>
            <sz val="10"/>
            <color rgb="FF000000"/>
            <rFont val="Tahoma"/>
            <family val="2"/>
          </rPr>
          <t xml:space="preserve">
</t>
        </r>
        <r>
          <rPr>
            <sz val="10"/>
            <color rgb="FF000000"/>
            <rFont val="Tahoma"/>
            <family val="2"/>
          </rPr>
          <t>Target verb 'showed' not provided. Participant used 'passed'</t>
        </r>
      </text>
    </comment>
    <comment ref="K18" authorId="2" shapeId="0" xr:uid="{99ED5AA3-5270-4F96-B999-C79413498AA8}">
      <text>
        <r>
          <rPr>
            <b/>
            <sz val="10"/>
            <color rgb="FF000000"/>
            <rFont val="Tahoma"/>
            <family val="2"/>
          </rPr>
          <t>Katherine Revius:</t>
        </r>
        <r>
          <rPr>
            <sz val="10"/>
            <color rgb="FF000000"/>
            <rFont val="Tahoma"/>
            <family val="2"/>
          </rPr>
          <t xml:space="preserve">
</t>
        </r>
        <r>
          <rPr>
            <sz val="10"/>
            <color rgb="FF000000"/>
            <rFont val="Tahoma"/>
            <family val="2"/>
          </rPr>
          <t>Target verb 'threw' not provided. Participant used 'showed'</t>
        </r>
      </text>
    </comment>
    <comment ref="J19" authorId="2" shapeId="0" xr:uid="{488CDAF5-2CBF-467D-9824-67160598755C}">
      <text>
        <r>
          <rPr>
            <b/>
            <sz val="10"/>
            <color rgb="FF000000"/>
            <rFont val="Tahoma"/>
            <family val="2"/>
          </rPr>
          <t>Katherine Revius:</t>
        </r>
        <r>
          <rPr>
            <sz val="10"/>
            <color rgb="FF000000"/>
            <rFont val="Tahoma"/>
            <family val="2"/>
          </rPr>
          <t xml:space="preserve">
</t>
        </r>
        <r>
          <rPr>
            <sz val="10"/>
            <color rgb="FF000000"/>
            <rFont val="Tahoma"/>
            <family val="2"/>
          </rPr>
          <t>Prime verb was meant to be 'gave', administrator used 'brought'</t>
        </r>
      </text>
    </comment>
    <comment ref="K19" authorId="2" shapeId="0" xr:uid="{42E1776D-D3BC-4A99-AF59-5341E23B33BF}">
      <text>
        <r>
          <rPr>
            <b/>
            <sz val="10"/>
            <color rgb="FF000000"/>
            <rFont val="Tahoma"/>
            <family val="2"/>
          </rPr>
          <t>Katherine Revius:</t>
        </r>
        <r>
          <rPr>
            <sz val="10"/>
            <color rgb="FF000000"/>
            <rFont val="Tahoma"/>
            <family val="2"/>
          </rPr>
          <t xml:space="preserve">
</t>
        </r>
        <r>
          <rPr>
            <sz val="10"/>
            <color rgb="FF000000"/>
            <rFont val="Tahoma"/>
            <family val="2"/>
          </rPr>
          <t>Target verb 'sent' not provided. Participant used 'showed'</t>
        </r>
      </text>
    </comment>
    <comment ref="K21" authorId="2" shapeId="0" xr:uid="{6291D5F3-84DC-4386-8F92-5D3546559A76}">
      <text>
        <r>
          <rPr>
            <b/>
            <sz val="10"/>
            <color rgb="FF000000"/>
            <rFont val="Tahoma"/>
            <family val="2"/>
          </rPr>
          <t>Katherine Revius:</t>
        </r>
        <r>
          <rPr>
            <sz val="10"/>
            <color rgb="FF000000"/>
            <rFont val="Tahoma"/>
            <family val="2"/>
          </rPr>
          <t xml:space="preserve">
</t>
        </r>
        <r>
          <rPr>
            <sz val="10"/>
            <color rgb="FF000000"/>
            <rFont val="Tahoma"/>
            <family val="2"/>
          </rPr>
          <t>Target verb presented was 'gave' instead of 'showed'- participant responded to this and then administrator corrected with "showed!" but response was already underway following 'gave'</t>
        </r>
      </text>
    </comment>
    <comment ref="K24" authorId="2" shapeId="0" xr:uid="{68A6C976-8944-4C81-853B-BDAD0532603B}">
      <text>
        <r>
          <rPr>
            <b/>
            <sz val="10"/>
            <color rgb="FF000000"/>
            <rFont val="Tahoma"/>
            <family val="2"/>
          </rPr>
          <t>Katherine Revius:</t>
        </r>
        <r>
          <rPr>
            <sz val="10"/>
            <color rgb="FF000000"/>
            <rFont val="Tahoma"/>
            <family val="2"/>
          </rPr>
          <t xml:space="preserve">
</t>
        </r>
        <r>
          <rPr>
            <sz val="10"/>
            <color rgb="FF000000"/>
            <rFont val="Tahoma"/>
            <family val="2"/>
          </rPr>
          <t>Target verb 'sent' not provided. Participant used 'passed'</t>
        </r>
      </text>
    </comment>
    <comment ref="M24" authorId="2" shapeId="0" xr:uid="{78137224-6232-44ED-80C8-FAC6BDB96C04}">
      <text>
        <r>
          <rPr>
            <b/>
            <sz val="10"/>
            <color rgb="FF000000"/>
            <rFont val="Tahoma"/>
            <family val="2"/>
          </rPr>
          <t>Katherine Revius:</t>
        </r>
        <r>
          <rPr>
            <sz val="10"/>
            <color rgb="FF000000"/>
            <rFont val="Tahoma"/>
            <family val="2"/>
          </rPr>
          <t xml:space="preserve">
</t>
        </r>
        <r>
          <rPr>
            <sz val="10"/>
            <color rgb="FF000000"/>
            <rFont val="Tahoma"/>
            <family val="2"/>
          </rPr>
          <t>Matching target verb 'sent' not provided. Participant used 'passed'</t>
        </r>
      </text>
    </comment>
    <comment ref="J25" authorId="2" shapeId="0" xr:uid="{8957E094-02E8-40D6-AF92-D027E7E08D9D}">
      <text>
        <r>
          <rPr>
            <b/>
            <sz val="10"/>
            <color rgb="FF000000"/>
            <rFont val="Tahoma"/>
            <family val="2"/>
          </rPr>
          <t>Katherine Revius:</t>
        </r>
        <r>
          <rPr>
            <sz val="10"/>
            <color rgb="FF000000"/>
            <rFont val="Tahoma"/>
            <family val="2"/>
          </rPr>
          <t xml:space="preserve">
</t>
        </r>
        <r>
          <rPr>
            <sz val="10"/>
            <color rgb="FF000000"/>
            <rFont val="Tahoma"/>
            <family val="2"/>
          </rPr>
          <t>Administrator used 'showed' then corrected with 'passed'</t>
        </r>
      </text>
    </comment>
    <comment ref="K25" authorId="2" shapeId="0" xr:uid="{8B71F0BA-E9D6-4250-9CE6-3362F417306A}">
      <text>
        <r>
          <rPr>
            <b/>
            <sz val="10"/>
            <color rgb="FF000000"/>
            <rFont val="Tahoma"/>
            <family val="2"/>
          </rPr>
          <t>Katherine Revius:</t>
        </r>
        <r>
          <rPr>
            <sz val="10"/>
            <color rgb="FF000000"/>
            <rFont val="Tahoma"/>
            <family val="2"/>
          </rPr>
          <t xml:space="preserve">
</t>
        </r>
        <r>
          <rPr>
            <sz val="10"/>
            <color rgb="FF000000"/>
            <rFont val="Tahoma"/>
            <family val="2"/>
          </rPr>
          <t>No target prompt provided.  Target verb was supposed to be 'gave', participant used 'brought'</t>
        </r>
      </text>
    </comment>
    <comment ref="K51" authorId="2" shapeId="0" xr:uid="{9CE949ED-A829-4DDD-9713-9A4F9717C32F}">
      <text>
        <r>
          <rPr>
            <b/>
            <sz val="10"/>
            <color rgb="FF000000"/>
            <rFont val="Tahoma"/>
            <family val="2"/>
          </rPr>
          <t>Katherine Revius:</t>
        </r>
        <r>
          <rPr>
            <sz val="10"/>
            <color rgb="FF000000"/>
            <rFont val="Tahoma"/>
            <family val="2"/>
          </rPr>
          <t xml:space="preserve">
</t>
        </r>
        <r>
          <rPr>
            <sz val="10"/>
            <color rgb="FF000000"/>
            <rFont val="Tahoma"/>
            <family val="2"/>
          </rPr>
          <t xml:space="preserve">Target verb was 'showed'
</t>
        </r>
        <r>
          <rPr>
            <sz val="10"/>
            <color rgb="FF000000"/>
            <rFont val="Tahoma"/>
            <family val="2"/>
          </rPr>
          <t>Participant used 'gave' instead</t>
        </r>
      </text>
    </comment>
    <comment ref="K58" authorId="2" shapeId="0" xr:uid="{48B4E4C1-87C0-4218-AAE9-6C19CC9C23B7}">
      <text>
        <r>
          <rPr>
            <b/>
            <sz val="10"/>
            <color rgb="FF000000"/>
            <rFont val="Tahoma"/>
            <family val="2"/>
          </rPr>
          <t>Katherine Revius:</t>
        </r>
        <r>
          <rPr>
            <sz val="10"/>
            <color rgb="FF000000"/>
            <rFont val="Tahoma"/>
            <family val="2"/>
          </rPr>
          <t xml:space="preserve">
</t>
        </r>
        <r>
          <rPr>
            <sz val="10"/>
            <color rgb="FF000000"/>
            <rFont val="Tahoma"/>
            <family val="2"/>
          </rPr>
          <t xml:space="preserve">Target verb was supposed to be 'sent' but verb was not provided by administrator. 
</t>
        </r>
        <r>
          <rPr>
            <sz val="10"/>
            <color rgb="FF000000"/>
            <rFont val="Tahoma"/>
            <family val="2"/>
          </rPr>
          <t>Participant used 'pushed' instead</t>
        </r>
      </text>
    </comment>
    <comment ref="K60" authorId="2" shapeId="0" xr:uid="{C0E4C66E-2AB1-464D-9098-D680FC64AFAE}">
      <text>
        <r>
          <rPr>
            <b/>
            <sz val="10"/>
            <color rgb="FF000000"/>
            <rFont val="Tahoma"/>
            <family val="2"/>
          </rPr>
          <t>Katherine Revius:</t>
        </r>
        <r>
          <rPr>
            <sz val="10"/>
            <color rgb="FF000000"/>
            <rFont val="Tahoma"/>
            <family val="2"/>
          </rPr>
          <t xml:space="preserve">
</t>
        </r>
        <r>
          <rPr>
            <sz val="10"/>
            <color rgb="FF000000"/>
            <rFont val="Tahoma"/>
            <family val="2"/>
          </rPr>
          <t>Target verb was supposed to be 'sent' Participant used 'pushed' instead</t>
        </r>
      </text>
    </comment>
    <comment ref="M60" authorId="2" shapeId="0" xr:uid="{EA145D54-A992-46BC-97E5-56C7610D3CED}">
      <text>
        <r>
          <rPr>
            <b/>
            <sz val="10"/>
            <color rgb="FF000000"/>
            <rFont val="Tahoma"/>
            <family val="2"/>
          </rPr>
          <t>Katherine Revius:</t>
        </r>
        <r>
          <rPr>
            <sz val="10"/>
            <color rgb="FF000000"/>
            <rFont val="Tahoma"/>
            <family val="2"/>
          </rPr>
          <t xml:space="preserve">
</t>
        </r>
        <r>
          <rPr>
            <sz val="10"/>
            <color rgb="FF000000"/>
            <rFont val="Tahoma"/>
            <family val="2"/>
          </rPr>
          <t>Target verb was supposed to be 'sent' Participant used 'pushed' instead</t>
        </r>
      </text>
    </comment>
    <comment ref="K61" authorId="2" shapeId="0" xr:uid="{BB67D64D-AD52-47C1-96FC-1F8E7D3CEC1F}">
      <text>
        <r>
          <rPr>
            <b/>
            <sz val="10"/>
            <color rgb="FF000000"/>
            <rFont val="Tahoma"/>
            <family val="2"/>
          </rPr>
          <t>Katherine Revius:</t>
        </r>
        <r>
          <rPr>
            <sz val="10"/>
            <color rgb="FF000000"/>
            <rFont val="Tahoma"/>
            <family val="2"/>
          </rPr>
          <t xml:space="preserve">
</t>
        </r>
        <r>
          <rPr>
            <sz val="10"/>
            <color rgb="FF000000"/>
            <rFont val="Tahoma"/>
            <family val="2"/>
          </rPr>
          <t xml:space="preserve">Target verb was supposed to be 'passed' 
</t>
        </r>
        <r>
          <rPr>
            <sz val="10"/>
            <color rgb="FF000000"/>
            <rFont val="Tahoma"/>
            <family val="2"/>
          </rPr>
          <t>Participant used 'gave' instead</t>
        </r>
      </text>
    </comment>
    <comment ref="M61" authorId="2" shapeId="0" xr:uid="{9AF5E9AB-8C9C-48BC-9915-B9B9419426A6}">
      <text>
        <r>
          <rPr>
            <b/>
            <sz val="10"/>
            <color rgb="FF000000"/>
            <rFont val="Tahoma"/>
            <family val="2"/>
          </rPr>
          <t>Katherine Revius:</t>
        </r>
        <r>
          <rPr>
            <sz val="10"/>
            <color rgb="FF000000"/>
            <rFont val="Tahoma"/>
            <family val="2"/>
          </rPr>
          <t xml:space="preserve">
</t>
        </r>
        <r>
          <rPr>
            <sz val="10"/>
            <color rgb="FF000000"/>
            <rFont val="Tahoma"/>
            <family val="2"/>
          </rPr>
          <t xml:space="preserve">Target verb was supposed to be 'passed' 
</t>
        </r>
        <r>
          <rPr>
            <sz val="10"/>
            <color rgb="FF000000"/>
            <rFont val="Tahoma"/>
            <family val="2"/>
          </rPr>
          <t>Participant used 'gave' instead</t>
        </r>
      </text>
    </comment>
    <comment ref="K116" authorId="2" shapeId="0" xr:uid="{2E5912A8-FA9E-4132-BDBC-3424DBADFA9A}">
      <text>
        <r>
          <rPr>
            <b/>
            <sz val="10"/>
            <color rgb="FF000000"/>
            <rFont val="Tahoma"/>
            <family val="2"/>
          </rPr>
          <t>Katherine Revius:</t>
        </r>
        <r>
          <rPr>
            <sz val="10"/>
            <color rgb="FF000000"/>
            <rFont val="Tahoma"/>
            <family val="2"/>
          </rPr>
          <t xml:space="preserve">
</t>
        </r>
        <r>
          <rPr>
            <sz val="10"/>
            <color rgb="FF000000"/>
            <rFont val="Tahoma"/>
            <family val="2"/>
          </rPr>
          <t xml:space="preserve">Target verb was supposed to be 'passed' but was not provided
</t>
        </r>
        <r>
          <rPr>
            <sz val="10"/>
            <color rgb="FF000000"/>
            <rFont val="Tahoma"/>
            <family val="2"/>
          </rPr>
          <t>Participant used 'gave' instead</t>
        </r>
      </text>
    </comment>
    <comment ref="M116" authorId="2" shapeId="0" xr:uid="{B612D8B2-0DEB-4745-A3C5-DF83B539C61E}">
      <text>
        <r>
          <rPr>
            <b/>
            <sz val="10"/>
            <color rgb="FF000000"/>
            <rFont val="Tahoma"/>
            <family val="2"/>
          </rPr>
          <t>Katherine Revius:</t>
        </r>
        <r>
          <rPr>
            <sz val="10"/>
            <color rgb="FF000000"/>
            <rFont val="Tahoma"/>
            <family val="2"/>
          </rPr>
          <t xml:space="preserve">
</t>
        </r>
        <r>
          <rPr>
            <sz val="10"/>
            <color rgb="FF000000"/>
            <rFont val="Tahoma"/>
            <family val="2"/>
          </rPr>
          <t xml:space="preserve">Target verb was supposed to be 'passed' but was not provided
</t>
        </r>
        <r>
          <rPr>
            <sz val="10"/>
            <color rgb="FF000000"/>
            <rFont val="Tahoma"/>
            <family val="2"/>
          </rPr>
          <t>Participant used 'gave' instead</t>
        </r>
      </text>
    </comment>
    <comment ref="K181" authorId="2" shapeId="0" xr:uid="{874DECEE-2C59-4919-BDD2-9F100D5D09E2}">
      <text>
        <r>
          <rPr>
            <b/>
            <sz val="10"/>
            <color rgb="FF000000"/>
            <rFont val="Tahoma"/>
            <family val="2"/>
          </rPr>
          <t>Katherine Revius:</t>
        </r>
        <r>
          <rPr>
            <sz val="10"/>
            <color rgb="FF000000"/>
            <rFont val="Tahoma"/>
            <family val="2"/>
          </rPr>
          <t xml:space="preserve">
</t>
        </r>
        <r>
          <rPr>
            <sz val="10"/>
            <color rgb="FF000000"/>
            <rFont val="Tahoma"/>
            <family val="2"/>
          </rPr>
          <t>Target verb provided was 'gave' but participant used 'passed' instead</t>
        </r>
      </text>
    </comment>
    <comment ref="M181" authorId="2" shapeId="0" xr:uid="{37ED3776-3FF4-41CB-9CE9-4FE04B4A9B34}">
      <text>
        <r>
          <rPr>
            <b/>
            <sz val="10"/>
            <color rgb="FF000000"/>
            <rFont val="Tahoma"/>
            <family val="2"/>
          </rPr>
          <t>Katherine Revius:</t>
        </r>
        <r>
          <rPr>
            <sz val="10"/>
            <color rgb="FF000000"/>
            <rFont val="Tahoma"/>
            <family val="2"/>
          </rPr>
          <t xml:space="preserve">
</t>
        </r>
        <r>
          <rPr>
            <sz val="10"/>
            <color rgb="FF000000"/>
            <rFont val="Tahoma"/>
            <family val="2"/>
          </rPr>
          <t>Target verb provided was 'gave' but participant used 'passed' instead</t>
        </r>
      </text>
    </comment>
    <comment ref="K185" authorId="2" shapeId="0" xr:uid="{A0F37702-BCB0-4839-941A-FFF9CAE9CDC8}">
      <text>
        <r>
          <rPr>
            <b/>
            <sz val="10"/>
            <color rgb="FF000000"/>
            <rFont val="Tahoma"/>
            <family val="2"/>
          </rPr>
          <t>Katherine Revius:</t>
        </r>
        <r>
          <rPr>
            <sz val="10"/>
            <color rgb="FF000000"/>
            <rFont val="Tahoma"/>
            <family val="2"/>
          </rPr>
          <t xml:space="preserve">
</t>
        </r>
        <r>
          <rPr>
            <sz val="10"/>
            <color rgb="FF000000"/>
            <rFont val="Tahoma"/>
            <family val="2"/>
          </rPr>
          <t>Admin. started to say 'showed' but changed to 'threw' at same time as participant was already saying 'showed'. Think we have to count this as 'showed'</t>
        </r>
      </text>
    </comment>
    <comment ref="M185" authorId="2" shapeId="0" xr:uid="{0AC8A432-41A4-4AB9-9C9C-4211140D37FC}">
      <text>
        <r>
          <rPr>
            <b/>
            <sz val="10"/>
            <color rgb="FF000000"/>
            <rFont val="Tahoma"/>
            <family val="2"/>
          </rPr>
          <t>Katherine Revius:</t>
        </r>
        <r>
          <rPr>
            <sz val="10"/>
            <color rgb="FF000000"/>
            <rFont val="Tahoma"/>
            <family val="2"/>
          </rPr>
          <t xml:space="preserve">
</t>
        </r>
        <r>
          <rPr>
            <sz val="10"/>
            <color rgb="FF000000"/>
            <rFont val="Tahoma"/>
            <family val="2"/>
          </rPr>
          <t>Admin. started to say 'showed' but changed to 'threw' at same time as participant was already saying 'showed'. Think we have to count this as 'showed'</t>
        </r>
      </text>
    </comment>
    <comment ref="K200" authorId="2" shapeId="0" xr:uid="{6A6A453A-EC7E-40B2-A396-50245C9D5FD8}">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M200" authorId="2" shapeId="0" xr:uid="{EB9AC317-6078-4F7F-9D1F-B70C6E568171}">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K212" authorId="2" shapeId="0" xr:uid="{BA9CF816-88B8-4CF7-9B44-F426539FFEE2}">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M212" authorId="2" shapeId="0" xr:uid="{F423B4F7-668C-4E0A-9057-DD9E2F012DC1}">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K216" authorId="2" shapeId="0" xr:uid="{F64DC5B7-C696-4066-A127-EAF7A4F86541}">
      <text>
        <r>
          <rPr>
            <b/>
            <sz val="10"/>
            <color rgb="FF000000"/>
            <rFont val="Tahoma"/>
            <family val="2"/>
          </rPr>
          <t>Katherine Revius:</t>
        </r>
        <r>
          <rPr>
            <sz val="10"/>
            <color rgb="FF000000"/>
            <rFont val="Tahoma"/>
            <family val="2"/>
          </rPr>
          <t xml:space="preserve">
</t>
        </r>
        <r>
          <rPr>
            <sz val="10"/>
            <color rgb="FF000000"/>
            <rFont val="Tahoma"/>
            <family val="2"/>
          </rPr>
          <t>Target verb not provided. Was meant to be 'threw', participant used 'passed' instead</t>
        </r>
      </text>
    </comment>
    <comment ref="K231" authorId="2" shapeId="0" xr:uid="{343550AA-AC0B-41E8-A326-AFFB83BF46C6}">
      <text>
        <r>
          <rPr>
            <b/>
            <sz val="10"/>
            <color rgb="FF000000"/>
            <rFont val="Tahoma"/>
            <family val="2"/>
          </rPr>
          <t>Katherine Revius:</t>
        </r>
        <r>
          <rPr>
            <sz val="10"/>
            <color rgb="FF000000"/>
            <rFont val="Tahoma"/>
            <family val="2"/>
          </rPr>
          <t>Admin provided target verb 'showed' but participant used verb 'gived'</t>
        </r>
      </text>
    </comment>
    <comment ref="K260" authorId="2" shapeId="0" xr:uid="{3BA3107A-CF8D-4AE3-AB67-CD9B713491CE}">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M260" authorId="2" shapeId="0" xr:uid="{FC2C0830-FB1C-42ED-9C79-B5446AD524AD}">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K272" authorId="2" shapeId="0" xr:uid="{DF9A18CF-0388-42A8-8139-15F6148F112F}">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M272" authorId="2" shapeId="0" xr:uid="{CBB2A8C5-B856-4005-8945-DDDE1C41D714}">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K308" authorId="2" shapeId="0" xr:uid="{29BE6BEE-FE7F-4F9D-B779-415E41ED53CE}">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M308" authorId="2" shapeId="0" xr:uid="{26E8DA92-B1AB-4A6D-918C-0F6EC4FDBFCF}">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K345" authorId="2" shapeId="0" xr:uid="{AD0D8B57-4977-4AB9-8B7A-FCCCF8B5B109}">
      <text>
        <r>
          <rPr>
            <b/>
            <sz val="10"/>
            <color rgb="FF000000"/>
            <rFont val="Tahoma"/>
            <family val="2"/>
          </rPr>
          <t>Katherine Revius:</t>
        </r>
        <r>
          <rPr>
            <sz val="10"/>
            <color rgb="FF000000"/>
            <rFont val="Tahoma"/>
            <family val="2"/>
          </rPr>
          <t xml:space="preserve">
</t>
        </r>
        <r>
          <rPr>
            <sz val="10"/>
            <color rgb="FF000000"/>
            <rFont val="Tahoma"/>
            <family val="2"/>
          </rPr>
          <t>Administrator provided 'threw' but participant used 'brought' instead</t>
        </r>
      </text>
    </comment>
    <comment ref="K364" authorId="2" shapeId="0" xr:uid="{8A2A5972-A5A0-4EC2-89F0-B4577B9F2D06}">
      <text>
        <r>
          <rPr>
            <b/>
            <sz val="10"/>
            <color rgb="FF000000"/>
            <rFont val="Tahoma"/>
            <family val="2"/>
          </rPr>
          <t>Katherine Revius:</t>
        </r>
        <r>
          <rPr>
            <sz val="10"/>
            <color rgb="FF000000"/>
            <rFont val="Tahoma"/>
            <family val="2"/>
          </rPr>
          <t xml:space="preserve">
</t>
        </r>
        <r>
          <rPr>
            <sz val="10"/>
            <color rgb="FF000000"/>
            <rFont val="Tahoma"/>
            <family val="2"/>
          </rPr>
          <t>Administrator provided 'showed' but participant used 'putting'</t>
        </r>
      </text>
    </comment>
    <comment ref="K368" authorId="2" shapeId="0" xr:uid="{2A26ABF3-0496-441F-A7E4-F2A12EF1E260}">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M368" authorId="2" shapeId="0" xr:uid="{22764FA3-3842-4DEA-8C7B-56089ADDABB3}">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K380" authorId="2" shapeId="0" xr:uid="{690C6EBD-2ECE-4C14-BFEB-348C8710EC83}">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M380" authorId="2" shapeId="0" xr:uid="{B53F825C-71CE-4262-A8A7-947802959F28}">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K381" authorId="2" shapeId="0" xr:uid="{75C24FF8-CCF4-48CA-9B4D-314D7884EACC}">
      <text>
        <r>
          <rPr>
            <b/>
            <sz val="10"/>
            <color rgb="FF000000"/>
            <rFont val="Tahoma"/>
            <family val="2"/>
          </rPr>
          <t>Katherine Revius:</t>
        </r>
        <r>
          <rPr>
            <sz val="10"/>
            <color rgb="FF000000"/>
            <rFont val="Tahoma"/>
            <family val="2"/>
          </rPr>
          <t xml:space="preserve">
</t>
        </r>
        <r>
          <rPr>
            <sz val="10"/>
            <color rgb="FF000000"/>
            <rFont val="Tahoma"/>
            <family val="2"/>
          </rPr>
          <t>Target verb 'sent' was provided, but participant used 'gave' and then administrator provided 'gave' again when repeating the target prompt</t>
        </r>
      </text>
    </comment>
    <comment ref="M381" authorId="2" shapeId="0" xr:uid="{EC65B701-30AA-4F05-A367-BDBE9046DCF7}">
      <text>
        <r>
          <rPr>
            <b/>
            <sz val="10"/>
            <color rgb="FF000000"/>
            <rFont val="Tahoma"/>
            <family val="2"/>
          </rPr>
          <t>Katherine Revius:</t>
        </r>
        <r>
          <rPr>
            <sz val="10"/>
            <color rgb="FF000000"/>
            <rFont val="Tahoma"/>
            <family val="2"/>
          </rPr>
          <t xml:space="preserve">
</t>
        </r>
        <r>
          <rPr>
            <sz val="10"/>
            <color rgb="FF000000"/>
            <rFont val="Tahoma"/>
            <family val="2"/>
          </rPr>
          <t>verb was meant to match with 'sent' but 'gave' was used instead</t>
        </r>
      </text>
    </comment>
    <comment ref="J398" authorId="2" shapeId="0" xr:uid="{7FA7D50E-750D-4337-A3AA-06D3E220C85D}">
      <text>
        <r>
          <rPr>
            <b/>
            <sz val="10"/>
            <color rgb="FF000000"/>
            <rFont val="Tahoma"/>
            <family val="2"/>
          </rPr>
          <t>Katherine Revius:</t>
        </r>
        <r>
          <rPr>
            <sz val="10"/>
            <color rgb="FF000000"/>
            <rFont val="Tahoma"/>
            <family val="2"/>
          </rPr>
          <t xml:space="preserve">
</t>
        </r>
        <r>
          <rPr>
            <sz val="10"/>
            <color rgb="FF000000"/>
            <rFont val="Tahoma"/>
            <family val="2"/>
          </rPr>
          <t xml:space="preserve">Was meant to be 'sent'
</t>
        </r>
        <r>
          <rPr>
            <sz val="10"/>
            <color rgb="FF000000"/>
            <rFont val="Tahoma"/>
            <family val="2"/>
          </rPr>
          <t>Administrator used 'passed'</t>
        </r>
      </text>
    </comment>
    <comment ref="K404" authorId="2" shapeId="0" xr:uid="{1E8EB57C-B420-41E2-98FA-7D2DC3E9972E}">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M404" authorId="2" shapeId="0" xr:uid="{4092C7E5-5749-4DC9-9BB8-FC3A1E02A1DD}">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K524" authorId="2" shapeId="0" xr:uid="{2AD89A4D-73A0-4FB5-9C84-83DD99F94C50}">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M524" authorId="2" shapeId="0" xr:uid="{F82DF6DE-B133-4CE6-B9E6-5F5BC5E73539}">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S541" authorId="2" shapeId="0" xr:uid="{353AF57C-519F-4ADB-BC00-B6220D45401A}">
      <text>
        <r>
          <rPr>
            <b/>
            <sz val="10"/>
            <color rgb="FF000000"/>
            <rFont val="Tahoma"/>
            <family val="2"/>
          </rPr>
          <t>Katherine Revius:</t>
        </r>
        <r>
          <rPr>
            <sz val="10"/>
            <color rgb="FF000000"/>
            <rFont val="Tahoma"/>
            <family val="2"/>
          </rPr>
          <t xml:space="preserve">
</t>
        </r>
        <r>
          <rPr>
            <sz val="10"/>
            <color rgb="FF000000"/>
            <rFont val="Tahoma"/>
            <family val="2"/>
          </rPr>
          <t>Significant interference of ~17 clauses</t>
        </r>
      </text>
    </comment>
    <comment ref="K543" authorId="2" shapeId="0" xr:uid="{0819B9F1-B5B7-4139-8F4A-806FA86FD9BC}">
      <text>
        <r>
          <rPr>
            <b/>
            <sz val="10"/>
            <color rgb="FF000000"/>
            <rFont val="Tahoma"/>
            <family val="2"/>
          </rPr>
          <t>Katherine Revius:</t>
        </r>
        <r>
          <rPr>
            <sz val="10"/>
            <color rgb="FF000000"/>
            <rFont val="Tahoma"/>
            <family val="2"/>
          </rPr>
          <t xml:space="preserve">
</t>
        </r>
        <r>
          <rPr>
            <sz val="10"/>
            <color rgb="FF000000"/>
            <rFont val="Tahoma"/>
            <family val="2"/>
          </rPr>
          <t>Administrator provided 'brought' but participant used 'passed' in final response</t>
        </r>
      </text>
    </comment>
    <comment ref="S547" authorId="2" shapeId="0" xr:uid="{7AE9FCE0-FCA7-4206-B468-BA142A09D7F1}">
      <text>
        <r>
          <rPr>
            <b/>
            <sz val="10"/>
            <color rgb="FF000000"/>
            <rFont val="Tahoma"/>
            <family val="2"/>
          </rPr>
          <t>Katherine Revius:</t>
        </r>
        <r>
          <rPr>
            <sz val="10"/>
            <color rgb="FF000000"/>
            <rFont val="Tahoma"/>
            <family val="2"/>
          </rPr>
          <t xml:space="preserve">
</t>
        </r>
        <r>
          <rPr>
            <sz val="10"/>
            <color rgb="FF000000"/>
            <rFont val="Tahoma"/>
            <family val="2"/>
          </rPr>
          <t>significant interference (~28 clauses)</t>
        </r>
      </text>
    </comment>
    <comment ref="S556" authorId="2" shapeId="0" xr:uid="{DB18B6BB-A892-45BA-B788-ED30633F76A3}">
      <text>
        <r>
          <rPr>
            <b/>
            <sz val="10"/>
            <color rgb="FF000000"/>
            <rFont val="Tahoma"/>
            <family val="2"/>
          </rPr>
          <t>Katherine Revius:</t>
        </r>
        <r>
          <rPr>
            <sz val="10"/>
            <color rgb="FF000000"/>
            <rFont val="Tahoma"/>
            <family val="2"/>
          </rPr>
          <t xml:space="preserve">
</t>
        </r>
        <r>
          <rPr>
            <sz val="10"/>
            <color rgb="FF000000"/>
            <rFont val="Tahoma"/>
            <family val="2"/>
          </rPr>
          <t>~12 clauses</t>
        </r>
      </text>
    </comment>
    <comment ref="K583" authorId="2" shapeId="0" xr:uid="{DF705FDD-3D46-4C27-8A3E-59CA24CE815F}">
      <text>
        <r>
          <rPr>
            <b/>
            <sz val="10"/>
            <color rgb="FF000000"/>
            <rFont val="Tahoma"/>
            <family val="2"/>
          </rPr>
          <t>Katherine Revius:</t>
        </r>
        <r>
          <rPr>
            <sz val="10"/>
            <color rgb="FF000000"/>
            <rFont val="Tahoma"/>
            <family val="2"/>
          </rPr>
          <t xml:space="preserve">
</t>
        </r>
        <r>
          <rPr>
            <sz val="10"/>
            <color rgb="FF000000"/>
            <rFont val="Tahoma"/>
            <family val="2"/>
          </rPr>
          <t>Administrator provided 'sent' several times but participant used what sounded like 'vroomed' in final response</t>
        </r>
      </text>
    </comment>
    <comment ref="K590" authorId="2" shapeId="0" xr:uid="{0F044724-EF06-41EC-A2EB-68437DF9C085}">
      <text>
        <r>
          <rPr>
            <b/>
            <sz val="10"/>
            <color rgb="FF000000"/>
            <rFont val="Tahoma"/>
            <family val="2"/>
          </rPr>
          <t>Katherine Revius:</t>
        </r>
        <r>
          <rPr>
            <sz val="10"/>
            <color rgb="FF000000"/>
            <rFont val="Tahoma"/>
            <family val="2"/>
          </rPr>
          <t xml:space="preserve">
</t>
        </r>
        <r>
          <rPr>
            <sz val="10"/>
            <color rgb="FF000000"/>
            <rFont val="Tahoma"/>
            <family val="2"/>
          </rPr>
          <t>Administrator provided 'sent' but participant used 'pushed'</t>
        </r>
      </text>
    </comment>
    <comment ref="AA590" authorId="2" shapeId="0" xr:uid="{5085412E-C3B6-44FF-931F-A13F5A8580B9}">
      <text>
        <r>
          <rPr>
            <b/>
            <sz val="10"/>
            <color rgb="FF000000"/>
            <rFont val="Tahoma"/>
            <family val="2"/>
          </rPr>
          <t>Katherine Revius:</t>
        </r>
        <r>
          <rPr>
            <sz val="10"/>
            <color rgb="FF000000"/>
            <rFont val="Tahoma"/>
            <family val="2"/>
          </rPr>
          <t xml:space="preserve">
</t>
        </r>
        <r>
          <rPr>
            <sz val="10"/>
            <color rgb="FF000000"/>
            <rFont val="Tahoma"/>
            <family val="2"/>
          </rPr>
          <t xml:space="preserve">verb change is not one that allows for DOD construction </t>
        </r>
      </text>
    </comment>
    <comment ref="K632" authorId="2" shapeId="0" xr:uid="{9D79FDD9-6DC1-41B9-AACC-819F1F6A08C9}">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M632" authorId="2" shapeId="0" xr:uid="{4D1EAC93-6CE8-4A8E-AD2C-F9B06C5EF1FF}">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K644" authorId="2" shapeId="0" xr:uid="{9A69052C-1116-4D28-9CAF-7D9B709D9F0C}">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M644" authorId="2" shapeId="0" xr:uid="{7D04F021-5E22-45BF-9A8C-59B9FDA85008}">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K645" authorId="2" shapeId="0" xr:uid="{F6DAF2A3-9D8F-43C5-B2BC-AA6DAF49185A}">
      <text>
        <r>
          <rPr>
            <b/>
            <sz val="10"/>
            <color rgb="FF000000"/>
            <rFont val="Tahoma"/>
            <family val="2"/>
          </rPr>
          <t>Katherine Revius:</t>
        </r>
        <r>
          <rPr>
            <sz val="10"/>
            <color rgb="FF000000"/>
            <rFont val="Tahoma"/>
            <family val="2"/>
          </rPr>
          <t xml:space="preserve">
</t>
        </r>
        <r>
          <rPr>
            <sz val="10"/>
            <color rgb="FF000000"/>
            <rFont val="Tahoma"/>
            <family val="2"/>
          </rPr>
          <t>Administrator provided 'sent' but participant used 'rolled'</t>
        </r>
      </text>
    </comment>
    <comment ref="K658" authorId="2" shapeId="0" xr:uid="{2E199A8E-4994-491E-B5D1-8D9864039232}">
      <text>
        <r>
          <rPr>
            <b/>
            <sz val="10"/>
            <color rgb="FF000000"/>
            <rFont val="Tahoma"/>
            <family val="2"/>
          </rPr>
          <t>Katherine Revius:</t>
        </r>
        <r>
          <rPr>
            <sz val="10"/>
            <color rgb="FF000000"/>
            <rFont val="Tahoma"/>
            <family val="2"/>
          </rPr>
          <t xml:space="preserve">
</t>
        </r>
        <r>
          <rPr>
            <sz val="10"/>
            <color rgb="FF000000"/>
            <rFont val="Tahoma"/>
            <family val="2"/>
          </rPr>
          <t>Administrator provided "the girl sent.." and then corrected with "or girl brought, sorry."</t>
        </r>
      </text>
    </comment>
    <comment ref="K740" authorId="2" shapeId="0" xr:uid="{BFDFE83F-287F-43BF-B050-411E9D33E3D2}">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M740" authorId="2" shapeId="0" xr:uid="{8A103DC3-7695-4447-ABE3-1A99C6679901}">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K752" authorId="2" shapeId="0" xr:uid="{58F62BE7-58C5-4586-A338-031EDFC83209}">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M752" authorId="2" shapeId="0" xr:uid="{AD8928B6-961F-436B-ACC8-C69974FF41D7}">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K764" authorId="2" shapeId="0" xr:uid="{B0689DDD-EEFC-4145-90C3-4458C3E7DFC7}">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M764" authorId="2" shapeId="0" xr:uid="{1361E93C-AC39-4F6D-8E7C-C63D77C2D563}">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K872" authorId="2" shapeId="0" xr:uid="{40003EDC-3A53-4A6F-886A-6C8BD57A03BF}">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M872" authorId="2" shapeId="0" xr:uid="{D19F57C5-C0D4-4615-BE89-79F23AC9D83B}">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K920" authorId="2" shapeId="0" xr:uid="{BEC86027-50FF-436C-83C2-DF2E02AB2B6C}">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M920" authorId="2" shapeId="0" xr:uid="{507FFAF9-7EAF-4111-B82A-C67B0852701F}">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K944" authorId="2" shapeId="0" xr:uid="{48039D28-6694-4558-9BF1-3E43F45611F4}">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M944" authorId="2" shapeId="0" xr:uid="{8C504601-BC89-4F3D-83A7-18F7369F81DA}">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K968" authorId="2" shapeId="0" xr:uid="{2DE84DC3-C4BC-4BCD-99E3-4C21D6EB5C4D}">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M968" authorId="2" shapeId="0" xr:uid="{05450F9F-D053-46FF-9420-6B1DD37D437E}">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K1016" authorId="2" shapeId="0" xr:uid="{E309338E-EB10-43BA-AE62-AABBF1A37658}">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M1016" authorId="2" shapeId="0" xr:uid="{F45B2D33-F9FD-46A8-9EFF-2C3FF6A194A1}">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K1021" authorId="2" shapeId="0" xr:uid="{916790F6-7C3B-47D2-87F9-A53B867DEF2A}">
      <text>
        <r>
          <rPr>
            <b/>
            <sz val="10"/>
            <color rgb="FF000000"/>
            <rFont val="Tahoma"/>
            <family val="2"/>
          </rPr>
          <t>Katherine Revius:</t>
        </r>
        <r>
          <rPr>
            <sz val="10"/>
            <color rgb="FF000000"/>
            <rFont val="Tahoma"/>
            <family val="2"/>
          </rPr>
          <t xml:space="preserve">
</t>
        </r>
        <r>
          <rPr>
            <sz val="10"/>
            <color rgb="FF000000"/>
            <rFont val="Calibri"/>
            <family val="2"/>
            <scheme val="minor"/>
          </rPr>
          <t>Target verb was meant to be 'gave', administrator provided verb 'threw' instead, then corrected but too late, participant had already used and repeated 'threw'</t>
        </r>
        <r>
          <rPr>
            <sz val="10"/>
            <color rgb="FF000000"/>
            <rFont val="Calibri"/>
            <family val="2"/>
            <scheme val="minor"/>
          </rPr>
          <t xml:space="preserve">
</t>
        </r>
      </text>
    </comment>
    <comment ref="M1021" authorId="2" shapeId="0" xr:uid="{2AC47842-D4DB-4139-9C46-17697FB9DA04}">
      <text>
        <r>
          <rPr>
            <b/>
            <sz val="10"/>
            <color rgb="FF000000"/>
            <rFont val="Tahoma"/>
            <family val="2"/>
          </rPr>
          <t>Katherine Revius:</t>
        </r>
        <r>
          <rPr>
            <sz val="10"/>
            <color rgb="FF000000"/>
            <rFont val="Tahoma"/>
            <family val="2"/>
          </rPr>
          <t xml:space="preserve">
</t>
        </r>
        <r>
          <rPr>
            <sz val="10"/>
            <color rgb="FF000000"/>
            <rFont val="Tahoma"/>
            <family val="2"/>
          </rPr>
          <t>Was meant to be matching 'gave' but administrator provided 'threw' instead</t>
        </r>
      </text>
    </comment>
    <comment ref="K1031" authorId="2" shapeId="0" xr:uid="{7D57A971-08F3-49A2-A3BF-F4D499D6DB72}">
      <text>
        <r>
          <rPr>
            <b/>
            <sz val="10"/>
            <color rgb="FF000000"/>
            <rFont val="Tahoma"/>
            <family val="2"/>
          </rPr>
          <t>Katherine Revius:</t>
        </r>
        <r>
          <rPr>
            <sz val="10"/>
            <color rgb="FF000000"/>
            <rFont val="Tahoma"/>
            <family val="2"/>
          </rPr>
          <t xml:space="preserve">
</t>
        </r>
        <r>
          <rPr>
            <sz val="10"/>
            <color rgb="FF000000"/>
            <rFont val="Tahoma"/>
            <family val="2"/>
          </rPr>
          <t>Supposed to be 'brought' which administrator provided, but participant used 'gived'</t>
        </r>
      </text>
    </comment>
    <comment ref="M1031" authorId="2" shapeId="0" xr:uid="{3881694C-53A9-46FB-A284-65A73BE715D5}">
      <text>
        <r>
          <rPr>
            <b/>
            <sz val="10"/>
            <color rgb="FF000000"/>
            <rFont val="Tahoma"/>
            <family val="2"/>
          </rPr>
          <t>Katherine Revius:</t>
        </r>
        <r>
          <rPr>
            <sz val="10"/>
            <color rgb="FF000000"/>
            <rFont val="Tahoma"/>
            <family val="2"/>
          </rPr>
          <t xml:space="preserve">
</t>
        </r>
        <r>
          <rPr>
            <sz val="10"/>
            <color rgb="FF000000"/>
            <rFont val="Tahoma"/>
            <family val="2"/>
          </rPr>
          <t>Was sposed to be matching 'brought' which administrator provided but participant used 'gived' in response</t>
        </r>
      </text>
    </comment>
    <comment ref="K1052" authorId="2" shapeId="0" xr:uid="{5F88FC39-E48E-4306-B061-A3A41C80B6B1}">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M1052" authorId="2" shapeId="0" xr:uid="{AD858341-FC52-4B03-98DB-58B14469F585}">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K1068" authorId="2" shapeId="0" xr:uid="{3A5D596B-E4BA-4E77-A76F-4AA68F2203D8}">
      <text>
        <r>
          <rPr>
            <b/>
            <sz val="10"/>
            <color rgb="FF000000"/>
            <rFont val="Tahoma"/>
            <family val="2"/>
          </rPr>
          <t>Katherine Revius:</t>
        </r>
        <r>
          <rPr>
            <sz val="10"/>
            <color rgb="FF000000"/>
            <rFont val="Tahoma"/>
            <family val="2"/>
          </rPr>
          <t xml:space="preserve">
</t>
        </r>
        <r>
          <rPr>
            <sz val="10"/>
            <color rgb="FF000000"/>
            <rFont val="Tahoma"/>
            <family val="2"/>
          </rPr>
          <t>Was meant to be 'showed' but administrator provided 'threw'. Corrected halfway through participant's response- too late</t>
        </r>
      </text>
    </comment>
    <comment ref="M1068" authorId="2" shapeId="0" xr:uid="{39584D30-5D08-4E9D-9063-2CAD42B6DD50}">
      <text>
        <r>
          <rPr>
            <b/>
            <sz val="10"/>
            <color rgb="FF000000"/>
            <rFont val="Tahoma"/>
            <family val="2"/>
          </rPr>
          <t>Katherine Revius:</t>
        </r>
        <r>
          <rPr>
            <sz val="10"/>
            <color rgb="FF000000"/>
            <rFont val="Tahoma"/>
            <family val="2"/>
          </rPr>
          <t xml:space="preserve">
</t>
        </r>
        <r>
          <rPr>
            <sz val="10"/>
            <color rgb="FF000000"/>
            <rFont val="Tahoma"/>
            <family val="2"/>
          </rPr>
          <t>Was meant to be unmatched 'showed' but administrator provided matched 'threw' instead</t>
        </r>
      </text>
    </comment>
    <comment ref="K1082" authorId="2" shapeId="0" xr:uid="{B274A053-9D30-4432-AC82-D27A584921BD}">
      <text>
        <r>
          <rPr>
            <b/>
            <sz val="10"/>
            <color rgb="FF000000"/>
            <rFont val="Tahoma"/>
            <family val="2"/>
          </rPr>
          <t>Katherine Revius:</t>
        </r>
        <r>
          <rPr>
            <sz val="10"/>
            <color rgb="FF000000"/>
            <rFont val="Tahoma"/>
            <family val="2"/>
          </rPr>
          <t xml:space="preserve">
</t>
        </r>
        <r>
          <rPr>
            <sz val="10"/>
            <color rgb="FF000000"/>
            <rFont val="Tahoma"/>
            <family val="2"/>
          </rPr>
          <t>Was meant to be 'sent' but participant used 'gave'</t>
        </r>
      </text>
    </comment>
    <comment ref="M1082" authorId="2" shapeId="0" xr:uid="{7AAA9628-3C7A-4AFD-8362-3249A9C8844C}">
      <text>
        <r>
          <rPr>
            <b/>
            <sz val="10"/>
            <color rgb="FF000000"/>
            <rFont val="Tahoma"/>
            <family val="2"/>
          </rPr>
          <t>Katherine Revius:</t>
        </r>
        <r>
          <rPr>
            <sz val="10"/>
            <color rgb="FF000000"/>
            <rFont val="Tahoma"/>
            <family val="2"/>
          </rPr>
          <t xml:space="preserve">
</t>
        </r>
        <r>
          <rPr>
            <sz val="10"/>
            <color rgb="FF000000"/>
            <rFont val="Tahoma"/>
            <family val="2"/>
          </rPr>
          <t>Was meant to be unmatched 'sent' but participant used 'gave'</t>
        </r>
      </text>
    </comment>
    <comment ref="K1083" authorId="2" shapeId="0" xr:uid="{4A1F01C0-68ED-42FE-B0B8-1FD3C620586F}">
      <text>
        <r>
          <rPr>
            <b/>
            <sz val="10"/>
            <color rgb="FF000000"/>
            <rFont val="Tahoma"/>
            <family val="2"/>
          </rPr>
          <t>Katherine Revius:</t>
        </r>
        <r>
          <rPr>
            <sz val="10"/>
            <color rgb="FF000000"/>
            <rFont val="Tahoma"/>
            <family val="2"/>
          </rPr>
          <t xml:space="preserve">
</t>
        </r>
        <r>
          <rPr>
            <sz val="10"/>
            <color rgb="FF000000"/>
            <rFont val="Tahoma"/>
            <family val="2"/>
          </rPr>
          <t>Meant to be 'threw' which is what administrator provided, but participant used 'gave'</t>
        </r>
      </text>
    </comment>
  </commentList>
</comments>
</file>

<file path=xl/sharedStrings.xml><?xml version="1.0" encoding="utf-8"?>
<sst xmlns="http://schemas.openxmlformats.org/spreadsheetml/2006/main" count="5671" uniqueCount="1315">
  <si>
    <t>Gender</t>
  </si>
  <si>
    <t>D.O.B.</t>
  </si>
  <si>
    <t>Session.Date</t>
  </si>
  <si>
    <t>Session.Age</t>
  </si>
  <si>
    <t>Sess.Age.(Days)</t>
  </si>
  <si>
    <t>Item</t>
  </si>
  <si>
    <t>Prime.verb</t>
  </si>
  <si>
    <t>Target.verb</t>
  </si>
  <si>
    <t>Prime.Type</t>
  </si>
  <si>
    <t>Verb.match</t>
  </si>
  <si>
    <t>Verb.error</t>
  </si>
  <si>
    <t>Admin.error</t>
  </si>
  <si>
    <t>Repeat.prime</t>
  </si>
  <si>
    <t>Repeat.target.prompt</t>
  </si>
  <si>
    <t>Prime.interference</t>
  </si>
  <si>
    <t>Missing.article</t>
  </si>
  <si>
    <t>Pronoun</t>
  </si>
  <si>
    <t>Prep.error</t>
  </si>
  <si>
    <t>Reversal.error</t>
  </si>
  <si>
    <t>Prompts.allowable</t>
  </si>
  <si>
    <t>Prompts.disallowed</t>
  </si>
  <si>
    <t>NonTarget.response</t>
  </si>
  <si>
    <t>No.response</t>
  </si>
  <si>
    <t>RESPONSE.CODE</t>
  </si>
  <si>
    <t>Prime.code</t>
  </si>
  <si>
    <t>Transcription</t>
  </si>
  <si>
    <t>Coded.Response</t>
  </si>
  <si>
    <t>Notes</t>
  </si>
  <si>
    <t>Error.code</t>
  </si>
  <si>
    <t>CLCL_001</t>
  </si>
  <si>
    <t>passed</t>
  </si>
  <si>
    <t>the fish to the girl</t>
  </si>
  <si>
    <t>showed</t>
  </si>
  <si>
    <t>brought</t>
  </si>
  <si>
    <t>doggy to the girl</t>
  </si>
  <si>
    <t>threw</t>
  </si>
  <si>
    <t>the fish to the monkey</t>
  </si>
  <si>
    <t>the doggy to the girl</t>
  </si>
  <si>
    <t>the cat to the princess</t>
  </si>
  <si>
    <t>gave</t>
  </si>
  <si>
    <t>sent</t>
  </si>
  <si>
    <t>the baby to the tiger</t>
  </si>
  <si>
    <t>the baby to the princess</t>
  </si>
  <si>
    <t>the teddy to the girl</t>
  </si>
  <si>
    <t>the doggy to the boy</t>
  </si>
  <si>
    <t>a fish to the monkey</t>
  </si>
  <si>
    <t>a doggy to the monkey</t>
  </si>
  <si>
    <t>the fish to the man</t>
  </si>
  <si>
    <t>a fishy to the girl</t>
  </si>
  <si>
    <t>a bunny to the man</t>
  </si>
  <si>
    <t>a baby to the tiger</t>
  </si>
  <si>
    <t>a puppy to the girl</t>
  </si>
  <si>
    <t>a puppy to the man</t>
  </si>
  <si>
    <t>a fish to the girl</t>
  </si>
  <si>
    <t>CLCL_005</t>
  </si>
  <si>
    <t>Thick accent (Eastern european..? Polish?)  Many comments on whether characters were alive/dead/cooked… query: autism..?</t>
  </si>
  <si>
    <t>(Piglet showed the cat to tigger. Your turn. The king brought…) a doggy… to the… (what is it? You can just say you think she is) a girl (Yeah you know what, she's wearing a crown, so she's a queen, isn't she? Yep? Great. So the King brought a puppy to the Queen didn't he?)</t>
  </si>
  <si>
    <t>a doggy to the girl</t>
  </si>
  <si>
    <t>(The lady threw the puppy to the man, or to the Fixer. The girl threw…) fish to the monkey</t>
  </si>
  <si>
    <t>fish to the monkey</t>
  </si>
  <si>
    <t>passed the doggy to the girl</t>
  </si>
  <si>
    <t>(The lady brought a bunny to the Fixer. Your turn.) Is the bunny cooked? (I don't think so. I think the bunny is a pet.) (Ok, ready for your turn.. The man…) showed a cat to the princess</t>
  </si>
  <si>
    <t>showed a cat to the princess</t>
  </si>
  <si>
    <t>(The girl brought the monkey a rabbit) I think the rabbit's not cooked? (No I think that's right.) (No it's not. It looks pretty alive to me. Ok, your turn. Piglet…) Piglet showed Tigger (pushed…) a-... pushed… (Do you want me to play it again? And I'll start you off, ok? We'll do it again, ready? Piglet pushed...) what? (You say what's happening) Um.. Piglet.. Piglet... (What do you think's happening here?) I think it's a scooter (Yeah it is a scooter. What about here? What's happening here? Is that a baby? Yeah. So do you think maybe Piglet pushed the baby to Tigger? Yeah great. Ok. Sometimes it's a bit strange to figure out what's going on.)</t>
  </si>
  <si>
    <t>Piglet showed Tigger a {interrupted}</t>
  </si>
  <si>
    <t>Counting first response which was DOD form before being interrupted ("Piglet showed Tigger a…")</t>
  </si>
  <si>
    <t>(The prince gave the puppy to the princess. Your turn. The king gave..) The baby. Baby. (mm?) The baby's not cooked. (Haha Thank goodness for that! That wouldn’t be good would it? So what else is happening?) Um, I don't know. (Let's try again. The king gave...) a baby to the princess.</t>
  </si>
  <si>
    <t>a baby to the princess</t>
  </si>
  <si>
    <t>(The king threw the rabbit to the queen) I think the rabbit's not dead. (No, it looks pretty alive.) (Don't worry about if the rabbit's dead or alive. It's just a picture. Not a real one is it?) (Yeah that's right. And now it's your turn. The boy gave...) a doggy (or showed!) to- to a girl</t>
  </si>
  <si>
    <t>a doggy to a girl</t>
  </si>
  <si>
    <t>(The boy passed a fish to the girl) I think the fishy's dead. (I don't think it's a real fish.) Why? (Because it's just a picture. Let's not worry about if the animals are dead or alive. Let's just talk about what's going on. Because I think that they're all pictures. They're not real.) (Mhmm. Ok let- Now it's your turn, ready?) I- I have- (nope, not ready yet. Yep?) I have s- I have a s- s- s- I have a new toothbrush. (A new toothbrush? That was so random) From Santa. [etc etc.. Dora is on the toothbrush] (Ok, Manda's going to have another go of her one and you listen carefully to what I say, ready? The boy passed the fish to a girl. Yeah. Now it's your turn. The girl) I'm getting so (passed...) tired (Ok you say it, ready?) No, I'm getting so tired (You're getting too tired. Guess what? There's only a few more to go.) (Do you reckon you've got a few more in you?) (Yeah! Let's just do a few more and then we'll take a break and I'll show you something cool. Yeah? I'll show you something really cool after this, ready? The girl passed...) um to the Fixer. (Yeah, what else is happening?) I don't know. (Ok we'll try it one more time. The girl passed...) um a doggy to Fixer.</t>
  </si>
  <si>
    <t>a doggy to Fixer</t>
  </si>
  <si>
    <t>passed a monkey a dog</t>
  </si>
  <si>
    <t>(The king showed the baby to the queen- passed the baby to the queen. Your turn...) A lady brought a fish to the walker</t>
  </si>
  <si>
    <t>A lady brought a fish to the walker</t>
  </si>
  <si>
    <t>CLCL_006</t>
  </si>
  <si>
    <t>(Piglet passed a cat to Tigger. Now your turn. But I'll start it. The boy passed…) the fish to the girl</t>
  </si>
  <si>
    <t>(Piglet showed a cat to Tigger. Now it's your turn. The king brought…) A dog (What else?) to her (Yeah, to her, sure. So the king brought the puppy or the dog to the Queen, didn't he? The dog to the queen.)</t>
  </si>
  <si>
    <t>a dog to her</t>
  </si>
  <si>
    <t>(The lady threw the man a puppy. Your turn.) Dora the Explorer- (Dora threw…) a fish to Boots</t>
  </si>
  <si>
    <t>a fish to Boots</t>
  </si>
  <si>
    <t>(Piglet showed Tigger the baby) That's funny! (Your turn. The boy showed…) the girl the puppy</t>
  </si>
  <si>
    <t>the girl the puppy</t>
  </si>
  <si>
    <t>(The lady brought a rabbit to the man.) Haha that's funny (The prince threw…) a cat to the princess</t>
  </si>
  <si>
    <t>a cat to the princess</t>
  </si>
  <si>
    <t>(Dora gave Boots a rabbit. Your turn. Piglet sent…) a- a baby to- to- to- I don't know (That's ok. You can say what you think he is. Ok. It's a tiger, or Tigger. You can call him Tigger. Do you want to have another go of that one? So… Piglet…) [x] Tigger a baby (That's right, he sent Tigger a baby.)</t>
  </si>
  <si>
    <t>a baby to… I don't know</t>
  </si>
  <si>
    <t>Counting first response immediately following prime which was POD form 'a baby to…' though participant later changed response to a DOD form</t>
  </si>
  <si>
    <t>the princess a baby</t>
  </si>
  <si>
    <t>the girl a puppy</t>
  </si>
  <si>
    <t>a dog to the man</t>
  </si>
  <si>
    <t>(The prince brought the princess a rabbit. Your turn. The girl- oh, Dora, brought..) a fish to Boots</t>
  </si>
  <si>
    <t>Boots a doggy</t>
  </si>
  <si>
    <t>a fish to the man</t>
  </si>
  <si>
    <t>CLCL_007</t>
  </si>
  <si>
    <t>no recording - battery flat</t>
  </si>
  <si>
    <t>CLCL_010</t>
  </si>
  <si>
    <t>1r</t>
  </si>
  <si>
    <t>a cat to the tiger</t>
  </si>
  <si>
    <t>2r</t>
  </si>
  <si>
    <t>(The king brought a puppy- no, let me start that again. There's a typo. Let me fix that. Ok, here we go. The king brought the queen a puppy. Ok your turn. The pig showed…) (What's happening?) Um um.. The pig gave the tiger- Uh, the tiger gave the pig um a cat. (Is it the other way round? Let's have a look, ready? We'll see it again. The pig showed...) He's [x] (Yeah he's just- see- Do you see- Do you think maybe he's just showing? Isn't he? He's not actually giving it, is he? Let's try again. The pig showed...) (What's happening?) Um, um I think the tiger is giving it to the- him, the bunny. (ohh, ok. Yeah. It does look like a bunny. Do you think maybe it's a cat? Yeah.. I dunno.) No, I mean that's a bunny. (Oh the pig. You think the pig looks like a bunny?) Yeah. (Yeah ok, well, he's actually a pig, see? He's pink. But, you know, he does- I see what you mean because of the ears. Fair enough. So let's call him a pig for now, and, we'll try again, ready? You finish what I say. The pig showed..) Yeah but, see all the words there? (Mmhmm, mmhmm) they're all- they're all, see those little lines there? They're not really [xxx] what you're doing (Oh aren't they? Yeah they help Manda to know what I'm doing. Ok let's move onto the next one.)</t>
  </si>
  <si>
    <t>the tiger gave the pig a cat</t>
  </si>
  <si>
    <t>target= the pig showed a cat to the tiger; this is not a reversal as participant explained that the tiger had given the cat to the pig (and now the pig is holding it)</t>
  </si>
  <si>
    <t>3r</t>
  </si>
  <si>
    <t>4r</t>
  </si>
  <si>
    <t>(The boy showed a rabbit to the girl) Is he giving it to him? (He's just showing her. Your turn. The pig showed…) See the um screen and it's [x]? Does your screen do it like that or- or does it.. Oh.. (Yeah I can show you the screen later if we get through this first, ok? So you put your hands back for a sec, and you watch, ready? You finish this one for me. The pig showed...) ... (What's happening?) ... He's showing um the tiger the dog</t>
  </si>
  <si>
    <t>He's showing the tiger the dog</t>
  </si>
  <si>
    <t>5r</t>
  </si>
  <si>
    <t>The prince threw the princess a cat. Oh! Where did he go? …. .... Your turn. … The lady brought…) … (Have a look. What's happening?) Um, he's holding it. But they're both holding it. (Yeah let's try again. The lady brought…) … Ummm… The lady brought um um um a bunny. (Yeah? what else?) (is happening) Uh... (Yeah what else is happening? You tell me.) Ummm... They're both holding it. (Yeah true. Ok let's move on)</t>
  </si>
  <si>
    <t>The lady brought a bunny</t>
  </si>
  <si>
    <t>6r</t>
  </si>
  <si>
    <t>(The pig sent a baby to the tiger. … Your turn. The girl gave…) … (What's happening?) He's giving- The monkey is- The girl gave the monkey a cuddle to the bunny.</t>
  </si>
  <si>
    <t>The girl gave the monkey a cuddle to the bunny</t>
  </si>
  <si>
    <t>7r</t>
  </si>
  <si>
    <t>a dog to the queen</t>
  </si>
  <si>
    <t>8r</t>
  </si>
  <si>
    <t>the bunny to the prince</t>
  </si>
  <si>
    <t>9r</t>
  </si>
  <si>
    <t>push</t>
  </si>
  <si>
    <t>(The lady passed a puppy to the boy. Your turn. The boy…) …  Ummm the boy um um pushed the the um fishy to the girl</t>
  </si>
  <si>
    <t>the boy pushed the fishy to the girl</t>
  </si>
  <si>
    <t>10r</t>
  </si>
  <si>
    <t>a bunny. (what else is happening?) To the … princess</t>
  </si>
  <si>
    <t>a bunny to the princess</t>
  </si>
  <si>
    <t>11r</t>
  </si>
  <si>
    <t>(The girl sent the monkey a puppy. Your turn. The prince sent…) … (What's happening?) Ummm that's a funny one. (It is a funny one. You tell me about it.) Um the pr- um that man, um, gave- he pushed the mouse to the princess.</t>
  </si>
  <si>
    <t>That man pushed the mouse to the princess</t>
  </si>
  <si>
    <t>12r</t>
  </si>
  <si>
    <t>(The lady gave a fish to the boy. Your turn. The king passed…) the- I wanna call him 'crying baby'. (You can. So you tell me. The king passed…) baby- … The girl- the the the prince gave the girl the crying baby.</t>
  </si>
  <si>
    <t>The prince gave the girl the crying baby</t>
  </si>
  <si>
    <t>CLCL_011</t>
  </si>
  <si>
    <t>(The lady brought a rabbit to the man. Ok your turn. The prince threw…) (You tell me what's happening) (Mum: What happened in that one? The prince threw… what?) (Do you what what this is? It's a cat. Yeah, yeah? It's a pussy cat. Let me show you again, ready? The prince threw...) a cat (Yeah, what else?) Nuh (Do you know who this is? Do you remember? That's the princess, do you remember? so... do you think maybe, the prince threw the cat to the princess? Let me show you again. Then you'll know for next time. The prince threw the cat to the princess.)</t>
  </si>
  <si>
    <t>a cat</t>
  </si>
  <si>
    <t>(The pig showed the tiger a baby. Ok, your turn [name]. The boy showed…) (Mum: Your turn. It's the game, remember? You say it as quickly as you can, that's part of the game.) Um (Like playing snap.) The um (It started- do you remember how it started? What did [administrator] say?) You say the boy and I say it's the rabbit (Mum: Can you say it out loud? The boy showed...) No.. (Ok) You do it mama (Mum: you want me to say it) (Yeah how about we let Mum do this one and you do the next one. Ok. So.. the boy showed..) (Mum: the rabbit to the girl.)</t>
  </si>
  <si>
    <t>it's the rabbit</t>
  </si>
  <si>
    <t>(The pig showed a cat to the tiger. Ok your turn. Where's the king going? The king brought…) (Mum: can you say it quickly? Sit up, you're sliding down darling.) You say the princess and I say the dog (Mum: It's your turn darling.) (You know what it is. Dog and princess sounds good. What's happening?) (Mum: what did the prince do?) I don't wanna do this one. (Oh ok. Let's skip that one then.) (Mum: Do you want to stand up again darling?  You're just slumping everywhere. You need to sit up) (That's ok, we'll skip that one and go to the next one.)</t>
  </si>
  <si>
    <t>the dog</t>
  </si>
  <si>
    <t>(The pig passed a cat to the tiger.) Um, that's too long.(It is, is it? Haha. Ah, I agree, but there's only a few more to go. There's not very many. We're gonna get through them.) (Mum: we'll go through them. Just do them as quickly as you can and then it'll be time to finish, ok?) (Yeah so you can get your book! He's waiting there for you, he's waiting.) (Mum: Yeah just do them really quickly, just say it as fast as you can, ok? It's a game.) (Here you go - The boy passed...) a fish to the girl.</t>
  </si>
  <si>
    <t>a dog to the monkey</t>
  </si>
  <si>
    <t>a dog to the girl</t>
  </si>
  <si>
    <t>(The prince gave a puppy to the princess. Ok your turn. The king gave…) Um I don't want to do it (Mum: You don't like the king and queen) (Guess what? It's the very last one! If you can finish this one..) (Mum: We're done!) (Then you can go and get your book!) (Mum: why don't you say what happened?) Um, the king gave the queen a baby.</t>
  </si>
  <si>
    <t>the king gave the queen a baby</t>
  </si>
  <si>
    <t>CLCL_013</t>
  </si>
  <si>
    <t>6r</t>
    <phoneticPr fontId="0" type="noConversion"/>
  </si>
  <si>
    <t>Check hard copy notes?</t>
  </si>
  <si>
    <t>5r</t>
    <phoneticPr fontId="0" type="noConversion"/>
  </si>
  <si>
    <t>4r</t>
    <phoneticPr fontId="0" type="noConversion"/>
  </si>
  <si>
    <t>3r</t>
    <phoneticPr fontId="0" type="noConversion"/>
  </si>
  <si>
    <t>2r</t>
    <phoneticPr fontId="0" type="noConversion"/>
  </si>
  <si>
    <t>the cat (what else?) showed the tiger the cat</t>
  </si>
  <si>
    <t>showed the tiger the cat</t>
  </si>
  <si>
    <t xml:space="preserve">this is the only audio recorded trial. </t>
  </si>
  <si>
    <t>1r</t>
    <phoneticPr fontId="0" type="noConversion"/>
  </si>
  <si>
    <t>12r</t>
    <phoneticPr fontId="0" type="noConversion"/>
  </si>
  <si>
    <t>11r</t>
    <phoneticPr fontId="0" type="noConversion"/>
  </si>
  <si>
    <t>10r</t>
    <phoneticPr fontId="0" type="noConversion"/>
  </si>
  <si>
    <t>9r</t>
    <phoneticPr fontId="0" type="noConversion"/>
  </si>
  <si>
    <t>8r</t>
    <phoneticPr fontId="0" type="noConversion"/>
  </si>
  <si>
    <t>7r</t>
    <phoneticPr fontId="0" type="noConversion"/>
  </si>
  <si>
    <t>CLCL_015</t>
  </si>
  <si>
    <t>(The girl gave a rabbit to the monkey. Ok now it's your turn, and I'll start you off. The pig sent…) The tiger. (Mmhmm. What's this?) The cat is [x] (Yeah.. The pig sent the tiger a what?) The pig's [x]ing at the tiger (Mmm and what's this?) That's just a baby (It is a baby! Well done, great job. Ok let's try the next one)</t>
  </si>
  <si>
    <t>the tiger</t>
  </si>
  <si>
    <t>the cat (Yeah what else?) The princess and the c- the daddy. The [x] is back (Haha so many stories with it, it's gorgeous. You're so creative. Um, why don't I try? Let me help you out with this one. Ready? Watch again. The prince threw.. And you say) the the [x] pushing the cat (Yes- the cat to the princess. Good job.)</t>
  </si>
  <si>
    <t>the cat</t>
  </si>
  <si>
    <t>the rabbit. … the [xxx] get the rabbit (The girl the rabbit, good job) the girl the rabbit</t>
  </si>
  <si>
    <t>the rabbit</t>
  </si>
  <si>
    <t>inaudible</t>
  </si>
  <si>
    <t>a fish! (yep, tell me more) The monkey's [doing] the fishy (The monkey's what the fish? Oh, haha. My turn.)</t>
  </si>
  <si>
    <t>a fish</t>
  </si>
  <si>
    <t>hard to hear</t>
  </si>
  <si>
    <t>the puppy… they were gonna get the puppy (Yeah, tell me more) um like having picnics (Haha having a picnic, that's so cute. Yeah do you think maybe he's bringing the puppy to the queen?) to the queen? (or is she the mum? Is she the mum or the queen?) Uh mum, to the boy (Ok, do you think the Dad brought the puppy?) [xx] (You watching? Have a quick look, let's watch that one again) (Mum: watch) (So, the king brought... and then you say 'the puppy to the queen' or 'the Dad brought the puppy to the Mum' Yep? Ok my turn)</t>
  </si>
  <si>
    <t xml:space="preserve">the puppy </t>
  </si>
  <si>
    <t>(The pig passed the tiger a cat. Did you see that?) Mama… (Mum: what? I'm here) (Yeah Mum's here.) (Mum: watch) (Did you see? I'll watch- I'll give it- I'll get to your one. Here you go [name].) (Mum: Look darling, what's this?) (Oh check this out) That's that (he's holding something) the fishy (mmhmm thats right. Let's say what's happening, ready? The b- oops, darn it, this happens sometimes, when I take too long.. Ok.. the boy passed..) the [monk-me] (Yeah what's this?) the- there's a fish (Yes! That was very well said)</t>
  </si>
  <si>
    <t>the fish</t>
  </si>
  <si>
    <t>(The king passed a baby to the queen, or, the Dad passed the baby to the Mum, sorry, forgot about that. Alright, your turn [name]. What's happening here? This is strange.) Dad- (The lady gave..) L- … (What's happening here?) They're bring the fishies (Yeah, and who- and tell me more about it.) (Mum: I'm here bubby, turn around.) (Who else is in the picture?) Noo... (Mum: Cmon, look what's this?) (Aw you're doing well mate) That's the fishies (And? Who's this?) Suzy. (Yeah, so the lady passed the fish to the boy.)</t>
  </si>
  <si>
    <t>NR</t>
  </si>
  <si>
    <t>(What's your one? Ahh.. The girl sent…) the monkey (mmhmm.) …. There's a puppy (Pardon?) There's a puppy (The puppy, yeah that's right good job)</t>
  </si>
  <si>
    <t>the monkey</t>
  </si>
  <si>
    <t>the... fish! (mmm?) a fish! (Tell me more.) That's the fish. (Yep, tell me more about it. What's this?) The monkey and the girl.</t>
  </si>
  <si>
    <t>the boy (tell me more) [they] have to get the puppy from the boy</t>
  </si>
  <si>
    <t>the boy</t>
  </si>
  <si>
    <t>the puppy (mmhmm?) the [x] [brought] the puppy</t>
  </si>
  <si>
    <t>the puppy</t>
  </si>
  <si>
    <t>the.. Mummy! …. The … princess? (Yep, what's this? Oh the princess! Is that what the baby is? Is the baby the princess? That's smart thinking, that's probably likely.)</t>
  </si>
  <si>
    <t>the mummy</t>
  </si>
  <si>
    <t>Don't know if we can assume 'princess' referred to baby. Response was "the mummy", long pause from administrator led participant to suggest 'the princess' - could have been an alternate word for the Queen, the indirect object/recipient</t>
  </si>
  <si>
    <t>CLCL_017</t>
  </si>
  <si>
    <t>a dog (Mmhmm, what else?) and gave it to her (Yeah, good job. Do you think she might be a queen? She's got a crown on her head. Or a princess, or a lady. Whatever you want to call her. Don't worry what they are supposed to be, I don't mind what you call them. Good job.)</t>
  </si>
  <si>
    <t>a dog and gave it to her</t>
  </si>
  <si>
    <t>(The lady threw a man a puppy. Haha. That's a bit silly isn't it?) Yeah (Ok, your turn. The girl threw..) the fish to the monkey</t>
  </si>
  <si>
    <t>the dog to the girl</t>
  </si>
  <si>
    <t>(The lady brought a rabbit to the man) And gived it to him (Mmm she did yeah. Your turn. The prince threw…) The cat. (Mmhmm… tell me more. What's happening?) The princess catched it (That's right yeah. He threw the cat to the princess didn't he?) Yeah.</t>
  </si>
  <si>
    <r>
      <t xml:space="preserve">the baby. … And picked it up! (Yeah who picked it up though? You tell me more.) The tiger picked the baby up. (He did too. Ok so you think maybe the pig sent the baby </t>
    </r>
    <r>
      <rPr>
        <i/>
        <sz val="11"/>
        <color theme="1"/>
        <rFont val="Calibri"/>
        <family val="2"/>
        <scheme val="minor"/>
      </rPr>
      <t>to</t>
    </r>
    <r>
      <rPr>
        <sz val="11"/>
        <color theme="1"/>
        <rFont val="Calibri"/>
        <family val="2"/>
        <scheme val="minor"/>
      </rPr>
      <t xml:space="preserve"> the tiger, yeah? Let's watch it again just so that we know, ready?) The pig.. (Yeah, he sent..) the baby on... ha it's silly because he sent it on a tr- (he did) he sent it on the- (I know, little trolley. Do you think that's safe for a baby to be in a trolley like that?) No. ... etc</t>
    </r>
  </si>
  <si>
    <t>the baby and picked it up</t>
  </si>
  <si>
    <t>the queen the baby</t>
  </si>
  <si>
    <t>(The king threw a rabbit to the queen. Oh! Hope she catches it. Oh phew. Alright your turn. The boy showed…) a dog to the girl</t>
  </si>
  <si>
    <t xml:space="preserve">a dog to the girl </t>
  </si>
  <si>
    <t>for</t>
  </si>
  <si>
    <t>a fish for the monkey</t>
  </si>
  <si>
    <t>(The prince sent a cat to the princess.) On a s- (Your turn) On a scooter (Yep. The girl sent..) girl sent the puppy to the monkey</t>
  </si>
  <si>
    <t>the puppy to the monkey</t>
  </si>
  <si>
    <t>a fish to the b- to the man</t>
  </si>
  <si>
    <t>CLCL_018</t>
  </si>
  <si>
    <t>the monkey …. to the rabbit (Yeah did she? What did she give?) a rabbit to the monkey</t>
  </si>
  <si>
    <t>reversal error - corrected with prompt</t>
  </si>
  <si>
    <t>(The prince threw the princess a cat. We don't throw cats do we? It's not a good idea. But he threw it and she caught it! Ok your turn. The lady brought…) a rabbit for the man</t>
  </si>
  <si>
    <t>a rabbit for the man</t>
  </si>
  <si>
    <t>a [bed] to the man</t>
  </si>
  <si>
    <t>(The king brought the queen a puppy. Or a bear, whatever you think it is, is fine. Your turn. The pig showed…) a cat to the tiger</t>
  </si>
  <si>
    <t>a tiger a cat</t>
  </si>
  <si>
    <t>(The lady gave a fish to the man. The king….) …... Gave a baby to a l-.. (doesn't matter what you- what do you think she is?) I think she's a lady (You can call her a lady. You can call her a queen. You can call her what you want. Will we do that one again? Let's try again, ready? The king gave...) a baby to the princess.</t>
  </si>
  <si>
    <t>gave a baby to a l[ady]</t>
  </si>
  <si>
    <t>(The girl sent the monkey a puppy. Your turn. The prince sent…) … (Mum: You say it. You say it darling) (You're doing so well) I want to stop. (How about.. we say this one, and then we just take a break for a minute? Does that sound good?) Yeah. (Yeah ok let's try this one. I'll start it again. The prince sent...) a cat to the.... I don't know what- (Doesn't matter if you know what it is. You can just say what you think. You can have a guess. ... Do you think- maybe she's a princess, yeah?) yeah (If he's a prince? Yeah let's say- can you say it again for me though [name]?) a prince (what did he do? let me see. The prince sent...) ... a lady (Yeah?) (Mum: what else?) a cat.</t>
  </si>
  <si>
    <t xml:space="preserve">a cat to the… I don't know what </t>
  </si>
  <si>
    <t>a rabbit to the lady</t>
  </si>
  <si>
    <t>extended break (~3min) prior to this trial</t>
  </si>
  <si>
    <t>a fish to the lady</t>
  </si>
  <si>
    <t>a rabbit to the queen</t>
  </si>
  <si>
    <t>a dog to the lady</t>
  </si>
  <si>
    <t>CLCL_021</t>
  </si>
  <si>
    <t xml:space="preserve">(The pig passed the tiger a cat. That's pretty funny isn't it? Now it's your turn. I'll start you off. The boy passed…)  the fish! (Yeah good job. Who did he pass it to? Who's this?) The girl (That's right, he passed the fish to the girl.) </t>
  </si>
  <si>
    <t>(The pig showed the tiger a cat. Didn't pass it this time, he just showed him, didn't he? Ok your turn. Where's he going? Ohh. The king brought..) a dog (Mmhmm. Tell me more.) Um, a dog. (Mmhmm. Yeah, to the queen didn't he? Passed the dog to the queen. Well done! Alright.)</t>
  </si>
  <si>
    <t>a dog</t>
  </si>
  <si>
    <t>(The lady threw a puppy to the man. Uhh! That's a bit silly. Do we throw puppies? No. Oh dear. It's ok, he's safe. Your turn. The girl threw…) a fish (Yeah! Good job! Who did she throw it to?) to the monkey (Oh well done, that's what we want, the whole thing. Well done!)</t>
  </si>
  <si>
    <t>a fish (who did she throw it to?) to the monkey</t>
  </si>
  <si>
    <t>disallowable prompt "to..?"</t>
  </si>
  <si>
    <t>(The pig showed a baby to the tiger. Your turn. The boy showed…) …(you tell me) a dog (…) a dog (Yes good job. Who to?) to the girl (Yes! Oh my gosh, well done!)</t>
  </si>
  <si>
    <t>a dog (who to?) to the girl</t>
  </si>
  <si>
    <t>(The lady brought the man a rabbit. Ok your turn. The prince threw… what is it?) a cat (Yeah. And?) a dress (oh yes, there is a dress you're right and that's what I was pointing at so fair enough. Do you think he threw the cat to the girl? The princess?) yeah (yeah good job)</t>
  </si>
  <si>
    <t>disallowable prompt "what is it?"</t>
  </si>
  <si>
    <t>(The pig sent…) … (Do you know what this is?) Is it.. (What do you think it is?) Is… (If you don't know I can tell you.) A tiger (It is a tiger! What's he holding?) a baby (Yeah! So what happened? The pig sent…) the other baby (yeah good job! To the tiger, didn't he?)</t>
  </si>
  <si>
    <t>the other baby</t>
  </si>
  <si>
    <t xml:space="preserve">(The prince gave the princess a puppy. That's cool, I'd love a puppy. Your turn. The king gave…) (You say what's happening) The baby. (Yeah! Who did he give the baby to?) to the girl </t>
  </si>
  <si>
    <t>the baby (who did he give the baby to?) to the girl</t>
  </si>
  <si>
    <t>(The king threw the queen a rabbit. Hehe. Your turn. Oh! Look at that! The boy showed..) the rabbit (Yeah who to?) a dog (Yeah it is a dog. And he showed it to the girl, didn't he? Yeah, good work.)</t>
  </si>
  <si>
    <t>(The lady passed… you say it) a dog (Yeah who did she pass it to?) a man</t>
  </si>
  <si>
    <t>a dog (who did she pass it to?) a man</t>
  </si>
  <si>
    <t>a fish! (That's right! Tell me more) is a monkey</t>
  </si>
  <si>
    <t>(The girl sent…) … (you say) Mummy… (Yeah mum's right here. You say what's happening [name]. Do you know what this is and this is?) a dog (mmhmm. What about this one?) a dog (mmhmm. Dog to the monkey, yeah)</t>
  </si>
  <si>
    <t>the fish (yeah tell me more) a man</t>
  </si>
  <si>
    <t>CLCL_022</t>
  </si>
  <si>
    <t>(The boy passed the girl a fish) The boy passed the girl (Oh you don't have to say it) a- (Yeah, yeah that's right) a- the- Tigger- Tigger gave Piglet (ohh we're gonna) a cat (That's right, but before I said 'The boy passed the girl a fish', now it's your turn after I start you, ready? The pig- or, Piglet passed...) The Piglet passed Tigger the cat</t>
  </si>
  <si>
    <t>Tigger gave Piglet a cat; (prime) The Piglet passed Tigger a cat</t>
  </si>
  <si>
    <t>Started before prime. Administered prime. Both were DOD</t>
  </si>
  <si>
    <t>(the king brought the- a- the queen a puppy) The queen (Oh you don't have to say it, that was my turn. Now this is your turn and I'll start you off and you finish it, ready? Oh! It went away! Let me get it back, hang on. Ok, I'll start it and you finish. Piglet showed... now you finish it) Piglet showed Tigger the cat</t>
  </si>
  <si>
    <t>Piglet showed Tigger the cat</t>
  </si>
  <si>
    <t>the puppy to the boy</t>
  </si>
  <si>
    <t>Piglet showed Tigger the baby</t>
  </si>
  <si>
    <t>the boy a rabbit</t>
  </si>
  <si>
    <t>Dora gave Boots a rabbit</t>
  </si>
  <si>
    <t>The prince gave the doggy to the princess</t>
  </si>
  <si>
    <t>The king threw the bunny to the prin- the the king..cess (the queen, good job) the queen</t>
  </si>
  <si>
    <t>The king threw the bunny to the king..cess {queen}</t>
  </si>
  <si>
    <t>The boy sent the fish to the girl</t>
  </si>
  <si>
    <t>The prince brought a bunny to the princess</t>
  </si>
  <si>
    <t>Target verb not provided, but participant used correct one ('brought')</t>
  </si>
  <si>
    <t>The prince sent a cat to the princess</t>
  </si>
  <si>
    <t>king passed a baby to the queen</t>
  </si>
  <si>
    <t>CLCL_025</t>
  </si>
  <si>
    <t>a baby to tigger</t>
  </si>
  <si>
    <t>a cat to the lady</t>
  </si>
  <si>
    <t>no prep</t>
  </si>
  <si>
    <t>a rabbit … a girl</t>
  </si>
  <si>
    <t>participant repeated prime</t>
  </si>
  <si>
    <t>a ted- a puppy to the princess</t>
  </si>
  <si>
    <t>a puppy to the princess</t>
  </si>
  <si>
    <t>a fish to Bob</t>
  </si>
  <si>
    <t>a bab- a ted to the monkey</t>
  </si>
  <si>
    <t>a ted to the monkey</t>
  </si>
  <si>
    <t>Bob the Builder a cat- a dog</t>
  </si>
  <si>
    <t>Bob the Builder a dog</t>
  </si>
  <si>
    <t>(The king threw a rabbit to the queen.) We don't- (Now your turn) We don't throw rabbits! (We do not. Now are you ready for this one? The boy showed..) a ted to the girl</t>
  </si>
  <si>
    <t>a ted to the girl</t>
  </si>
  <si>
    <t>CLCL_026</t>
  </si>
  <si>
    <t>the cat to the tiger</t>
  </si>
  <si>
    <t>the tiger the cat</t>
  </si>
  <si>
    <t>over to</t>
  </si>
  <si>
    <t>the teddy over to Bob</t>
  </si>
  <si>
    <t xml:space="preserve">(The pig showed..) the tiger the- the the- that. (Yeah that's right. Do you know what this is?) A ted. (It's actually a baby. DO you see? It's not very clear is it? He's got a dummy in his mouth) Yeah cos that's a baby (mmhmm. Well done. So, let's try that one one more time now that we know what they are. The pig showed..) the tiger the the the baby </t>
  </si>
  <si>
    <t>the tiger the- that</t>
  </si>
  <si>
    <t>noun error</t>
  </si>
  <si>
    <t>her- him a rabbit</t>
  </si>
  <si>
    <t>the monkey the rabbit</t>
  </si>
  <si>
    <t>gave the lady a teddy</t>
  </si>
  <si>
    <t>(The boy showed a puppy- or the ti- or a teddy-) to the lady (to the girl. That's right) to the girl (The boy showed the teddy to the girl, that's what you'd call it. Your turn. The king threw..) a rabbit over to the princess</t>
  </si>
  <si>
    <t>a rabbit over to the princess</t>
  </si>
  <si>
    <t>a rabbit for the girl</t>
  </si>
  <si>
    <t>CLCL_029</t>
  </si>
  <si>
    <t>the starfish to girl</t>
  </si>
  <si>
    <t>the king brought a doggy for the queen</t>
  </si>
  <si>
    <t>lady the dog</t>
  </si>
  <si>
    <t>the cat to the lady</t>
  </si>
  <si>
    <t>(The girl gave the monkey a rabbit) *laughs* (Your turn..) The the (Let's see) piglet (Oh remember I'll start [name], hang on a second let me press play. I've got to- sometimes it doesn’t work right.. There we go. Piglet sent..) … (you say) a baby to Tigger</t>
  </si>
  <si>
    <t>a baby to Tigger</t>
  </si>
  <si>
    <t>the lady the baby</t>
  </si>
  <si>
    <t>took 5 min break to charge computer</t>
  </si>
  <si>
    <t>the lady the dog</t>
  </si>
  <si>
    <t>the lady passed the dog (That's right. Keep going- and there's more to it. Say the whole thing. Ready?) The lady passed (The lady passed [said at same time]) the dog to the man</t>
  </si>
  <si>
    <t>the lady passed the dog to the man</t>
  </si>
  <si>
    <t>(Your turn.) The monkey was- (The girl brought..) brought.. a fish (mm?) and what [x] say? (You say the whole thing, try again. Ready? The girl brought..) um.. Fish for the monkey</t>
  </si>
  <si>
    <t>fish for the monkey</t>
  </si>
  <si>
    <t>(Your turn) The- (The lady gave..) uhhh boof.. boop boop… (I didn't hear you. Could you say that again?) the lady passed the fish to the boy</t>
  </si>
  <si>
    <t>the lady passed the fish to the boy</t>
  </si>
  <si>
    <t>CLCL_030</t>
  </si>
  <si>
    <t>a cat to her</t>
  </si>
  <si>
    <t>a rabbit to the girl</t>
  </si>
  <si>
    <t>(The lady threw a puppy to the man.) That's- (We don't throw puppies do we? Your turn. …) The fish- (Dora sh-)  (Dora threw) showed [said at same time] a fish to Boots</t>
  </si>
  <si>
    <t>a dog to the princess</t>
  </si>
  <si>
    <t>a dog to Boots</t>
  </si>
  <si>
    <t>(The girl brought- I mean, Dora, sorry, brought..) Dora brought a fish to Boots</t>
  </si>
  <si>
    <t xml:space="preserve">sent </t>
  </si>
  <si>
    <t xml:space="preserve">(Ok my turn...) The king (king threw the queen a rabbit. You were gonna say it, well done. Your turn…) The man- (The boy showed..) showed.. a dog to him. </t>
  </si>
  <si>
    <t>a dog to him</t>
  </si>
  <si>
    <t>a baby to the queen</t>
  </si>
  <si>
    <t>CLCL_031</t>
  </si>
  <si>
    <t>the monkey a rabbit</t>
  </si>
  <si>
    <t>the boy the rabbit</t>
  </si>
  <si>
    <t>the tiger a baby</t>
  </si>
  <si>
    <t>a dog to a fish (What was that again? Say that again ready? I'll play it for you. The lady threw…) What is it? (Oh it's- you can say dog) A dog… yeah (Yep say the whole thing) (Mum: You can call it a dog) (You can call it a dog. Let me try again- sorry- let's go- .. The lady threw..) a boy a dog</t>
  </si>
  <si>
    <t>a boy a dog</t>
  </si>
  <si>
    <t>a cat to a tiger</t>
  </si>
  <si>
    <t>the queen a baby</t>
  </si>
  <si>
    <t>a princess a rabbit</t>
  </si>
  <si>
    <t>a fish to a girl</t>
  </si>
  <si>
    <t>a girl to- a puppy to the girl</t>
  </si>
  <si>
    <t>CLCL_032</t>
  </si>
  <si>
    <t>a rabbit (yep?) a monkey a rabbit</t>
  </si>
  <si>
    <t>a monkey a rabbit</t>
  </si>
  <si>
    <t>a rabbit for the boy</t>
  </si>
  <si>
    <t>the lady threw a dog to the boy</t>
  </si>
  <si>
    <t>the tiger a cat</t>
  </si>
  <si>
    <t>the pig passed the tiger a cat</t>
  </si>
  <si>
    <t>the king give the princess a baby</t>
  </si>
  <si>
    <t>the prince sent the princess a cat</t>
  </si>
  <si>
    <t>the prince brought a rabbit for the princess</t>
  </si>
  <si>
    <t>(The boy showed the girl a puppy. Your turn. The king..) The king passed the girl a rabbit</t>
  </si>
  <si>
    <t>The king passed the girl a rabbit</t>
  </si>
  <si>
    <t>(The king gave the bab- queen! A baby.) The king- (Yeah gave the queen a baby. Ok) a baby (Your turn. Last one! The prince gave..) the princess.. doggy</t>
  </si>
  <si>
    <t>the princess... doggy</t>
  </si>
  <si>
    <t>a rabbit</t>
  </si>
  <si>
    <t>the rabbit to the monkey</t>
  </si>
  <si>
    <t>the dog to the princess</t>
  </si>
  <si>
    <t>the rabbit to the queen</t>
  </si>
  <si>
    <t>a cat to the girl</t>
  </si>
  <si>
    <t>CLCL_034</t>
  </si>
  <si>
    <t>the queen a puppy</t>
  </si>
  <si>
    <t>tiger to the baby</t>
  </si>
  <si>
    <t>a puppy to the lady</t>
  </si>
  <si>
    <t>the man a fish</t>
  </si>
  <si>
    <t>CLCL_035</t>
  </si>
  <si>
    <t>(The pig showed..) the cat- the tiger gived a cat to the pig. (Close. Let's try it again ready. Watch what's happening. The pig showed..) … (Say what's happening) I don't know (No? That's ok I'll tell you. You don't have to know but what I loved is that you tried. You gave it a go. And that's excellent. Ok I'll tell you what's happening. The pig showed.. the tiger a cat. Didn't he? Yeah. That's what it is- it's a cat) The pig showed the cat to the tiger</t>
  </si>
  <si>
    <t>the tiger gived a cat to the pig</t>
  </si>
  <si>
    <t>(The prince threw a cat to the princess.) That's not nice. They pass them (That's right. Your turn. The lady brought..) a rabbit to the man</t>
  </si>
  <si>
    <t>a rabbit to the man</t>
  </si>
  <si>
    <t>a rabbit to the monkey</t>
  </si>
  <si>
    <t>(The king threw..) That's not nice passing. (It's not. You finish it. The king threw..) a rabbit to the queen</t>
  </si>
  <si>
    <t>I don't know this one. (That's alright. You've got something in your mouth. Try to get it out. It's a hair or something on his tongue. You got it! Good job! Alright let's try this one again. Ok. The boy sent..) a fish to the girl</t>
  </si>
  <si>
    <t>a bunny to the prince</t>
  </si>
  <si>
    <t>a cat to the prince</t>
  </si>
  <si>
    <t>CLCL_037</t>
  </si>
  <si>
    <t>(The pig showed a cat to the tiger. Before he passed it, this time he showed it. Your turn. The king brought..) a doggy (Yep, tell me more) and it gave to the queen</t>
  </si>
  <si>
    <t>a doggy and it gave to the queen</t>
  </si>
  <si>
    <t>a puppy (mmhmm. Tell me more) … (Do you know who that is? You can just make up a name. That's a girl I think. Do you think? Yeah, let's play it again and you have another go [name], ready? Here it goes! The boy showed..) her the doggy</t>
  </si>
  <si>
    <t>her the doggy</t>
  </si>
  <si>
    <t>a cat (tell me more) two cats (Yeah.. What did he do? He threw the cat...) Yeah (Tell me more) (He threw the cat to the princess didn't he?)</t>
  </si>
  <si>
    <t>a rabbit- … (Yeah that's alright, you can call it whatever you want. What's happening? Will we start again? The boy showed.. Oop! It's going back! Ready? The boy showed..) her the doggy</t>
  </si>
  <si>
    <t>a monkey a fish</t>
  </si>
  <si>
    <t>(The girl sent..) … (Can you say what's happening? You give it a go. We've only got one-) No (-a couple more after this one. Ready you tell me what's happening. The girl sent..) a doggy to the monkey</t>
  </si>
  <si>
    <t>him a fish</t>
  </si>
  <si>
    <t>CLCL_038</t>
  </si>
  <si>
    <t>the bunny to the monkey</t>
  </si>
  <si>
    <t>him a bunny</t>
  </si>
  <si>
    <t>a doggy to the builder</t>
  </si>
  <si>
    <t>the cat to the lion</t>
  </si>
  <si>
    <t>the cat to the- the pig the cat (mmhmm yep say it again, ready? I'll try again. Let me show you the video again, that might be better. The pig passed..) the- a cat (yeh, keep going. What else is happening? …) not telling (haha you're not telling. Do you know- you know that's a tiger right? Yeah! So the pig passed the cat to the tiger. Let's move on)</t>
  </si>
  <si>
    <t>(the pig gave) the pig the cat</t>
  </si>
  <si>
    <t>should be '(the pig gave) the tiger the cat'</t>
  </si>
  <si>
    <t>her a baby</t>
  </si>
  <si>
    <t>(The girl sent the monkey a puppy) Puppy! Cute puppy! (It is a cute puppy. Your turn. The prince-) A cat! (The prince sent..) a cat (Say the whole thing.) The cat. (Yeah but- let's watch the video again, ok ready? The prince sent..) nothing (Ohhh do you know who this is?) Nope. (That's a princess! There we go. Now you know it's a princess, can you say the whole thing? The prince sent..) (What do you think? You have a guess) The cat gived the queen a platypus</t>
  </si>
  <si>
    <t>(The girl brought a fish to the monkey. Your turn) It's nothing (The prince- where's he gone? The prince brought..) The king a princess. (Yeah.. Is it a king? It could be a king. He could be a king. But what about this one?) A prince (He could be a prince. Can you tell me what happens? Ready? The prince brought..) a bunny (Yes? Tell me more. To the princess. Yeah. He brought a bunny to the princess.)</t>
  </si>
  <si>
    <t>the king a princess</t>
  </si>
  <si>
    <t>DOD structure but significant noun error</t>
  </si>
  <si>
    <t>(The boy sent..) Twinkle twinkle little star how I wonder what you are. Up above the world so high.. Bah bah bah bah bah…. (50sec of discussion) (The boy sent..) the girl a fish</t>
  </si>
  <si>
    <t>the girl a fish</t>
  </si>
  <si>
    <t>significant prime interference. Discount trial?</t>
  </si>
  <si>
    <t>the prince gave a puppy to the princess</t>
  </si>
  <si>
    <t>CLCL_039</t>
  </si>
  <si>
    <t>the bunny rabbit to the monkey</t>
  </si>
  <si>
    <t>the bunny rabbit to the builder</t>
  </si>
  <si>
    <t>a tiger the baby</t>
  </si>
  <si>
    <t>the doggy to the builder</t>
  </si>
  <si>
    <t>the kitty cat to the tiger</t>
  </si>
  <si>
    <t>gave the queen a baby</t>
  </si>
  <si>
    <t>the kitty cat to the prince</t>
  </si>
  <si>
    <t>a bunny rabbit to *sneeze* (Bless you. Can you finish? Let's do it again. Ready? You tell me what's happening. The prince brought..) um the princess the bunny rabbit</t>
  </si>
  <si>
    <t>the princess the bunny rabbit</t>
  </si>
  <si>
    <t>first attempt interrupted- have scored second response</t>
  </si>
  <si>
    <t>um girl a fish</t>
  </si>
  <si>
    <t>bunny rabbit to the queen</t>
  </si>
  <si>
    <t>a teddy bear to the queen</t>
  </si>
  <si>
    <t>CLCL_040</t>
  </si>
  <si>
    <t>(The pig sent..) .. (You say what's happening) The pig sent the baby to the tiger</t>
  </si>
  <si>
    <t>the pig sent the baby to the tiger</t>
  </si>
  <si>
    <t>the boy showed a lady a rabbit</t>
  </si>
  <si>
    <t>the king brought a dog for the king</t>
  </si>
  <si>
    <t>passed a fish to the lady</t>
  </si>
  <si>
    <t>gave the man a fish</t>
  </si>
  <si>
    <t>the girl sent a puppy to the monkey</t>
  </si>
  <si>
    <t>the boy showed a lady a dog</t>
  </si>
  <si>
    <t>the baby to the prince</t>
  </si>
  <si>
    <t>CLCL_041</t>
  </si>
  <si>
    <t>a [x] to Tigger</t>
  </si>
  <si>
    <t>a pussy cat to the princess</t>
  </si>
  <si>
    <t>the bunny rabbit to the girl</t>
  </si>
  <si>
    <t>a fishy to Boots</t>
  </si>
  <si>
    <t>a puppy dog to the princess</t>
  </si>
  <si>
    <t>a fishy to the man</t>
  </si>
  <si>
    <t>a doggy to Boots</t>
  </si>
  <si>
    <t>a teddy to the man</t>
  </si>
  <si>
    <t>a princess- a baby to the queen</t>
  </si>
  <si>
    <t>CLCL_042</t>
  </si>
  <si>
    <t>(Piglet passed a cat to Tigger. Alright, now your turn and I'll start you off. Dora passed..) a bunny rabbit (Yeah- Oh- Who- A bunny rabbit yeah and what else? Can you tell me more about what's happening?) And he passed it on to the monkey</t>
  </si>
  <si>
    <t>a bunny rabbit and he passed it on to the monkey</t>
  </si>
  <si>
    <t>a bunny rabbit (yeah.. Tell me more) to Bob the Builder</t>
  </si>
  <si>
    <t>a bunny rabbit to Bob the Builder</t>
  </si>
  <si>
    <t>the cat to the pig- um to- tiger to pooh bear</t>
  </si>
  <si>
    <t>throwed a teddy to Bob the Builder</t>
  </si>
  <si>
    <t>a cat to Tiger the Pooh Bear</t>
  </si>
  <si>
    <t xml:space="preserve">(The boy passed the girl a fish. Your turn) (Dad: watch [name]) (Yeah you can go over and have a look in a little while. [name] come see this one. Can you tell me what's happening here? Ready?) The tiger (The- Yeah you tell me) passed the cat to Tiger to Pooh Bear </t>
  </si>
  <si>
    <t xml:space="preserve">The tiger passed the cat to Tiger to Pooh Bear </t>
  </si>
  <si>
    <t>(The king gave the- what?) the bear- the um (yep that's alright. Do you want me to play it again? Ready watch. The king gave..) the cat to the king</t>
  </si>
  <si>
    <t>the cat to the king</t>
  </si>
  <si>
    <t>noun error: meant to be "the baby to the queen"</t>
  </si>
  <si>
    <t>a cat! (…) (Tell me more) to the princess</t>
  </si>
  <si>
    <t>a bunny rabbit to the princess</t>
  </si>
  <si>
    <t>a bunny rabbit to the king</t>
  </si>
  <si>
    <t>prince gave a puppy to the princess</t>
  </si>
  <si>
    <t>CLCL_044</t>
  </si>
  <si>
    <t>(The boy passed a fish to the girl. That's pretty cool isn't it? Alright your turn. The pig passed..) the cat (Yep tell me more) the cat (to the tiger didn't he? Did he pass the cat to the tiger?) yeah (Yeah! That's the whole thing)</t>
  </si>
  <si>
    <t>the cat (yeah he did) the cat (tell me more) cat (Yeah to who? Who did he show the cat to?) The tiger!</t>
  </si>
  <si>
    <t>disallowable prompt 'to who?'</t>
  </si>
  <si>
    <t>at</t>
  </si>
  <si>
    <t>the puppy at the man</t>
  </si>
  <si>
    <t>a baby (…) a tiger! (TO the tiger, good job)</t>
  </si>
  <si>
    <t>a baby</t>
  </si>
  <si>
    <t>from</t>
  </si>
  <si>
    <t>a bunny (yep, tell me more) from the man</t>
  </si>
  <si>
    <t>a bunny from the man</t>
  </si>
  <si>
    <t>a bunny to Boots</t>
  </si>
  <si>
    <t>a puppy (mmhmm. … Tell me more.) from the princess!</t>
  </si>
  <si>
    <t>a puppy from the princess</t>
  </si>
  <si>
    <t>a bunny at the queen</t>
  </si>
  <si>
    <t xml:space="preserve">a bunny! (…) (tell me more.) … the prince brought- (speak up I can't hear you. The prince brought..) a bunny! (Yeh tell me more. Look! You did say- you whispered princess. I heard it earlier. A bunny to the princess!) Yeah! </t>
  </si>
  <si>
    <t>a bunny</t>
  </si>
  <si>
    <t>(what happened?) a cat! (Yeah tell me more. … He sent a cat..) from.. a cat (Yep, but who to?) The queen that's give the cat at the prince (Yeah to the princess, well done)</t>
  </si>
  <si>
    <t>a baby from the queen</t>
  </si>
  <si>
    <t>CLCL_048</t>
  </si>
  <si>
    <t>(The pig sent..) .. . (You say what's happening) The tiger a baby</t>
  </si>
  <si>
    <t>the cat (mmhmm. Tell me more) … (Who did he throw it to? Oh you can just make up any name. Do you know what this is? That's a princess. So let's watch it again and you can say what happened. The prince threw..) a cat (yep) to the princess</t>
  </si>
  <si>
    <t>disallowable prompt 'to?'</t>
  </si>
  <si>
    <t>dog to the boy</t>
  </si>
  <si>
    <t>a baby to the prince</t>
  </si>
  <si>
    <t>CLCL_049</t>
  </si>
  <si>
    <t>(The pig showed..) … (Mum: what's happening?) (Do you want me to play it again? I can play it again so you can see. What's happening here? The pig showed..) (Mum: Use your words honey) the cat (mmhmm) to the tiger</t>
  </si>
  <si>
    <t>a dog to the builder</t>
  </si>
  <si>
    <t>after this trial, took 10min snack break</t>
  </si>
  <si>
    <t>a baby to a tiger</t>
  </si>
  <si>
    <t>a rabbit to the builder</t>
  </si>
  <si>
    <t>(The boy showed the girl a puppy. But now it's your turn [name]. What happens here? Look! Ready?) I don't want to do my turn (You don't? But there's going to be some more animals being- … happening.. on the video) [inaudible: last one?] mama (We only have a few more to go) (Mum: well they're in the car so if you finish doing that then mum can go and get them from the car) [etc etc.. 50 seconds more convincing to continue.. talk about prizes and snap card game..] (I'll show you my one again, are you ready? Just so you know.  The boy showed the girl a puppy. Ok now your turn. The king threw..) brought a rabbit to the princess</t>
  </si>
  <si>
    <t>brought a rabbit to the princess</t>
  </si>
  <si>
    <t>(The lady- oops, try again. The lady passed a puppy to the builder. What happened on your- what's happening on your one? Is that like a skateboard?) (Sibling:Haha) It is a skateboard (The boy sent..) a fish to the girl</t>
  </si>
  <si>
    <t>(The girl- where's she going? The girl brought a fish to the monkey. Your turn. Oh the prince is going somewhere. The prince brought..) a rabbit.. To the.. To the .. To the.. (you can call it whatever you want) to the.. (you just make it up) lady!</t>
  </si>
  <si>
    <t>(The lady gave a fish to the man- oh, to the builder. Your turn. The king passed..) a baby to the girl- to the.. girl.</t>
  </si>
  <si>
    <t>a baby to the girl</t>
  </si>
  <si>
    <t>CLCL_050</t>
  </si>
  <si>
    <t>(What's happening here? The pig sent..) Uh.. Um.. Don't know (Yeah that's ok you don't have to know. Do you know what this is? No I know, not everyone does. He's a baby, isn't he? So can you tell me what's happening? The pig sent..) a baby (yep, and tell me more) don't know (Do you know what this is?) tiger (Yeah, so the pig sent a baby to the tiger. I'll play it again so you can see. I say 'The pig sent' and you say 'the baby to the tiger')</t>
  </si>
  <si>
    <t>a cat (mmhmm. Tell me more) … (Do you know who this is? That's ok. It's a princess. So you tell me the whole thing. The prince threw..) cat (Yep, tell me about this one) Princess. (That's right, he threw a cat TO the princess.)</t>
  </si>
  <si>
    <t>cat</t>
  </si>
  <si>
    <t>a fish (yep?) to the monkey</t>
  </si>
  <si>
    <t>a puppy (mmhmm) … (you can just make up if you don't know what she is. Do you know who this is? It can be a lady or the queen. Yep? Let's try again, ready?) *groan* (The king brought..) a puppy (yep?) the queen (to the queen, yep)</t>
  </si>
  <si>
    <t>a puppy (yep?) the queen</t>
  </si>
  <si>
    <t>a puppy to the monkey</t>
  </si>
  <si>
    <t>a baby (mmhmm?) … (what else?) don't know (do you know who she is? She's a queen! Ok let's try it again. The king gave..) a baby (mmhmm) to (mmhmm) the girl</t>
  </si>
  <si>
    <t>CLCL_051</t>
  </si>
  <si>
    <t>(The girl gave..) .. (What happened [name]? You tell me.) … (You tell me, yeah. You can have a look at that later.. First we've gotta finish the game. What is happening [name]? Do you want me to play it again? Watch. The girl gave..) a rabbit (yes) … (who to?) ... (to who?) ... (what's that?) it's a monkey (it is! So you say 'the rabbit to the monkey') rabbit to monkey</t>
  </si>
  <si>
    <t>brought a bunny! (yep, say the whole thing) the lady brought a bunny! (yeah, to who?) .. To that.. Him (Yes to him. But he's a man isn't he? Yeah? Can you say the whole thing? The bunny to the man) bunny to the man</t>
  </si>
  <si>
    <t>the lady brought a bunny</t>
  </si>
  <si>
    <t>putting</t>
  </si>
  <si>
    <t>(The pig showed..) .. (What's happening?) I don't know (You tell me. You just have a guess. You tell me.) I don't- I know, he's putting that to him (Yeah that's right! He showed the baby to the tiger.)</t>
  </si>
  <si>
    <t>he's putting that to him</t>
  </si>
  <si>
    <t>ungrammatical but clearly POD structure</t>
  </si>
  <si>
    <t>(The lady threw..) … (You tell me what happened.) [hard to hear, sounds like 'threw to him!'] (Yes but can you say the whole thing? What- what did she throw?) throw- throw monkey (Yeah! To who?) throw monkey (Yeah. To the man, didn't she?)</t>
  </si>
  <si>
    <t>threw to him</t>
  </si>
  <si>
    <t>(The pig showed..) … (You tell me.) Him to he (No, you've gotta tell me what they are.But good, yeah, what is happening?) [hoofing ? Whole thing ?] Yeah, showed..? The pig showed..?) Pig showed a rabbit to him! (To? what's he called?) tiger</t>
  </si>
  <si>
    <t>pig showed a rabbit to him</t>
  </si>
  <si>
    <t>(The pig passed..) … (You tell me what they are) [inaudible] (What's this?) It's big [inaudible] a cat! (Yes and what's happening with the cat?) Um it- what's that? (That's just the recorder. We're- It's listening to us. Look [name], the pig passed the cat to the tiger) cat to the tiger</t>
  </si>
  <si>
    <t>(The king gave..) … (Do you know what that is?) It's toys (Yeah we can have a look at those later but we have to play the game first. Have a look at this please [name]. Watch. The king gave.. What's that?) … (Yeah tell me what's happening. The king gave..) ... king gave.. monk- meant, meant daddy's.. it's finish! Ughhh so long. (Yeah I know it is. We're almost finsihed. Do you think the king gave the baby to the queen? yeah.)</t>
  </si>
  <si>
    <t>(The prince sent..) … (What's this?) … (Yep, you tell me what happened. The prince sent..) Ugh… [inaudible: prince?] to him (Yep, but.. what.. is it? Do you know what it is?) *whisper*: It's a cat (You can just have a guess if you're not sure. What is this?) I don't know (You don't? It's a cat! And that-) It's a cat (And that- look here. [Name], look here. That's a princess. What's happening? The prince sent..) him... (you tell me what happened) ... (You're not sure? Ok.)</t>
  </si>
  <si>
    <t>prince to him</t>
  </si>
  <si>
    <t>a rabbit (Yes! Who to? Who to? You finish. Do you know who that is? It's a princess! So can you say- Can you tell me that one again? The prince brought..) … (a rabbit you said, to..?) to him! (the princess!) to princess!</t>
  </si>
  <si>
    <t>(The boy sent..) … (What did he send? You tell me what that is. What is it?) It's finished! (Whoopsies you went to farrr.. We'll watch again. The boy sent.. What is this? Do you know what it is? What? Yeah tell me what it's called) It's a fish! (Yeah! And this is a girl. So what happened?) The girl (He sent the fish to the girl. Yeah? Can you say that? You say it. The boy sent the fish to the girl.) ... (Alright let's move on)</t>
  </si>
  <si>
    <t>(The king threw..) … (You tell me.) … (You tell me what he did) [inaudible] *tapping at something* (Yeah what is that? What is that [name]? The king threw..) … (What is it? What is it? Just tell me what it is, I want to know!) throw it to her! (Yeah he did throw it to her. Whoops careful! You're bumping it too much. Ok my turn!)</t>
  </si>
  <si>
    <t>throw it to her</t>
  </si>
  <si>
    <t>(The prince gave..) (You tell me what's happening) … [inaudible] (Yeah I know but what are they? Do you know?) Yeah (You do? You tell me what they are. Whoops! There we go. Try- this is the last one and then we're finished with this game) [inaudible] (Yeah who? The prince gave..) [inaudible] ... etc etc ... never answered</t>
  </si>
  <si>
    <t>CLCL_053</t>
  </si>
  <si>
    <t>the monkey the bunny rabbit</t>
  </si>
  <si>
    <t>a bunny rabbit and gave it to Bob the Builder</t>
  </si>
  <si>
    <t>Tigger the baby</t>
  </si>
  <si>
    <t>a doggy to Bob the Builder</t>
  </si>
  <si>
    <t>Tigger the cat</t>
  </si>
  <si>
    <t>(The lady gave a fish to the man) No to the builder (to the builder sorry you're right. Thank you for helping me out. The king gave..) the princess the baby</t>
  </si>
  <si>
    <t>the princess the baby</t>
  </si>
  <si>
    <t>(The prince sent..) gave the- a cat (yep, tell me more) I don't know (Who's this? Do you know who she is?) I don't know (Do you think she's a princess?) Yeah (yeah let's try again ready? The prince gave..) the princess a cat</t>
  </si>
  <si>
    <t>the princess a cat</t>
  </si>
  <si>
    <t>(Ok the girl- ooh where's she going? The girl brought a fish to the monkey) to the monkey. And why does he have hair? (I don't know. Just does. Pretty spunky isn't he? Your turn. Where's the prince going? The prince brought..) a rabbit to the princess</t>
  </si>
  <si>
    <t>a rabbit to the princess</t>
  </si>
  <si>
    <t>(The lady passed a puppy to the man) No the builder (I mean the builder! Oh my gosh I keep getting that one wrong. I'm remembering Tigger and Piglet. Most of the kids don't know so it's written differently.) (Mum: Haha he's very particular, is [name].) (That's important. Attention to detail.) (Mum: Sorry what's that sweetie?) Um what about something to- I'd like the the- this. [x] my nose. (Mum: Oh, good idea.) (Yep, that is a good idea.) (Mum: Thank you. You can go back to your videos now.) (So 'cos I made a mistake with that one, we'll go back and do it again, ready?) You paused it. (I did pause it. I'm gonna play it now. The lady passed a puppy to Bob the builder. The boy sent..) a fish to the girl.</t>
  </si>
  <si>
    <t>a fish to the girl.</t>
  </si>
  <si>
    <t>the princess a doggy</t>
  </si>
  <si>
    <t>CLCL_054</t>
  </si>
  <si>
    <t>(The pig showed a cat to the tiger. What's on your one? Ooh where's the going? The king brought..)</t>
  </si>
  <si>
    <t>a dog for the princess</t>
  </si>
  <si>
    <t>a fishy to the monkey</t>
  </si>
  <si>
    <t>puppy to the girl</t>
  </si>
  <si>
    <t>(The girl gave the monkey a rabbit) She didn't throw it. (No that was much better wasn't it? Your turn.) The baby (Oh what's happening here? The pig sent..) a baby (Yep tell me more) a trolley (yeah and a trolley. You tell me more about what's happening ready? The pig sent..) ... (What do you think happened there?) The tiger is lifting a baby (He is lifting a baby, yeah good job.)</t>
  </si>
  <si>
    <t>a baby (prompt)-&gt; the tiger is lifting a baby</t>
  </si>
  <si>
    <t>gave a baby to the girl</t>
  </si>
  <si>
    <t>(The king threw a rabbit to the queen. Op! She caught it.) And the other time (mm?) he didn't (No that's right. This time he did. Here's your turn. The boy showed..) a puppy (Yeah! Tell me more) a girl (Yeah he showed it to the girl didn't he?)</t>
  </si>
  <si>
    <t>a puppy (yeah tell me more) a girl</t>
  </si>
  <si>
    <t>(The prince-) Where! The prince! (Yeah he brought the princess a rabbit) a bunny [said at same time] (What happened on your one here? The girl brought..) a fishy to the monkey</t>
  </si>
  <si>
    <t>slight error in prime sentence</t>
  </si>
  <si>
    <t>CLCL_055</t>
  </si>
  <si>
    <t>(The girl gave..) … (You finish it) The girl gave the monkey a bunny</t>
  </si>
  <si>
    <t>the girl gave the monkey a bunny</t>
  </si>
  <si>
    <t>a bunny to the boy</t>
  </si>
  <si>
    <t>a puppy dog to the man</t>
  </si>
  <si>
    <t>(Your turn. The pig show- wait, the pig passed..) a catty to the tiger</t>
  </si>
  <si>
    <t>a catty to the tiger</t>
  </si>
  <si>
    <t>(The lady gave the man a fish) Why [xx] (I don't know. Your turn. The king gave..) the princess a baby</t>
  </si>
  <si>
    <t>corrected target prompt</t>
  </si>
  <si>
    <t>a catty to the princess</t>
  </si>
  <si>
    <t>(The girl brought the monkey a fish) A fish?! Monkeys don't eat fish! (They don't eat fish. I wonder what he's going to do with that fish. Ok your turn. The prince brought..) bunny to the .. The girl</t>
  </si>
  <si>
    <t>bunny to the girl</t>
  </si>
  <si>
    <t>(The boy showed a puppy to the girl. Look! Look at the pictures. Oh cool. Now it's your turn, [name], ready? Don't turn it yet, we've still got some more to go.. What's happening here? Let me turn it back here so I can see.) [xx the puss?] (My turn- yes, it's your turn. The king threw..) No the prince threw (The prince, sorry) The prince threw a bunny to the princess</t>
  </si>
  <si>
    <t>The prince threw a bunny to the princess</t>
  </si>
  <si>
    <t>(The prince gave..) oh! (Not yet, what's happening? It's the last one [name]! What did- what happened? Ready, I'll play it again… And I'll play it again. Play. There we go. The prince gave..) … (You finish it) Gave the puppy to the prince</t>
  </si>
  <si>
    <t>Gave the puppy to the prince</t>
  </si>
  <si>
    <t>CLCL_056</t>
  </si>
  <si>
    <t>the fishy to the girl</t>
  </si>
  <si>
    <t>a puppy (yep tell me more) he gived it to the queen</t>
  </si>
  <si>
    <t>a puppy (tell me more) he gived it to the queen</t>
  </si>
  <si>
    <t>the fishy to the monkey</t>
  </si>
  <si>
    <t>a kitty to the girl</t>
  </si>
  <si>
    <t>(The king threw the queen a rabbit) The queen?! (Mm. Or a princess. We can call her a princess, do you prefer that? Ok the king threw the princess a rabbit. Your turn. The boy showed..) a puppy to the girl</t>
  </si>
  <si>
    <t>a puppy to a boy</t>
  </si>
  <si>
    <t>a fishy to a man</t>
  </si>
  <si>
    <t>CLCL_057</t>
  </si>
  <si>
    <t>(The boy passed the girl- oh did you see- let's play it- let's play it again. The boy passed the girl a fish. Yeah that's my go. Now it's your turn.) Yes (The pig passed..) to the tiger (what was- what did the pig pass to the tiger? You tell me the whole thing.) a cat! (That's right! So we say 'the pig passed the cat to the tiger'. Let's try it again, ready? The pig passed.. now you say it) The pig passed to the tiger (Yeah the cat to the tiger.)</t>
  </si>
  <si>
    <t>to the tiger</t>
  </si>
  <si>
    <t>the cat (yes. Tell me more) the pig.. doing something (Yeah let me show it again, ready? The pig showed..) [xx] up (Yeah he is. But what's he doing with it? He's showing, right?) Showing (So he's showing the cat.. to the-) to the tiger! (Perfect! The cat to the tiger, well done!)</t>
  </si>
  <si>
    <t>the dog to the builder</t>
  </si>
  <si>
    <t>the baby to the lion</t>
  </si>
  <si>
    <t>(The prince threw the princess a cat) to the princess (That's right. Your turn. Where's she going? Ooh the lady brought..) brought the rabbit to the builder, then he caught it to the builder</t>
  </si>
  <si>
    <t>the rabbit to the builder</t>
  </si>
  <si>
    <t>(The pig sent a baby) to the lion (to the tiger) [same time] (or the lion, you can call it whatever you want. Your turn. The l- The girl gave..) a rabbit to the monkey</t>
  </si>
  <si>
    <t>(The king) king (gave the baby- I mean, my turn. The king gave the queen a baby. Your turn) to the.. (The prince gave..) man … a puppy to the princess</t>
  </si>
  <si>
    <t>corrected prime sentence</t>
  </si>
  <si>
    <t>(The boy) boy (showed the girl) girl (a puppy) puppy (Your turn. The king threw..) a rabbit to the princess</t>
  </si>
  <si>
    <t>(The lady passed a puppy to the man) to the man. He's not a man! (He's a builder man. The lady builder passed- Let's go back and I'll do that again, ready? The lady builder-) lady (passed a puppy to the man builder. Ok your turn. The boy sent..) a fishy to the girl.</t>
  </si>
  <si>
    <t>a fishy to the girl.</t>
  </si>
  <si>
    <t>slight error in prime presentation</t>
  </si>
  <si>
    <t>(The girl brought a fish to the monkey. Let me play that one for you again, ready watch this.) [xx] (Make sure you're watching! The girl brought a fish to the monkey. What's your- Here's your turn. Don't press anything [name]. Here's your turn.) I'm just looking (Ok, what's going on here? Oh! Hey look! The prince brought..) a bunny to the princess</t>
  </si>
  <si>
    <t>(The girl) girl (sent the monkey) monkey (a puppy) puppy (Your turn. The prince) [xx] (sent..) give a.. cat! (Yeah.. Tell me-) sent a cat for it (Yeah say it again. The whole thing, remember?) sent..a (The prince sent..) a cat to the princess</t>
  </si>
  <si>
    <t>a baby to the king</t>
  </si>
  <si>
    <t>CLCL_058</t>
  </si>
  <si>
    <t>the kitty to the tiger</t>
  </si>
  <si>
    <t>a dog at the Bob</t>
  </si>
  <si>
    <t>a baby at the tiger</t>
  </si>
  <si>
    <t>(The prince threw a cat to the princess. Your turn. Where's the lady going? The lady brought..) brought.. bunny to the boy</t>
  </si>
  <si>
    <t>brought bunny to the boy</t>
  </si>
  <si>
    <t>(Your turn.) The girl brought- (Oh there you go! The girl gave..) a bunny to the [x]</t>
  </si>
  <si>
    <t>a bunny to the [x]</t>
  </si>
  <si>
    <t>very quiet, poor articulation</t>
  </si>
  <si>
    <t xml:space="preserve">a bunny to the [x] </t>
  </si>
  <si>
    <t>a bunny at the [x]</t>
  </si>
  <si>
    <t>a [x] to the princess</t>
  </si>
  <si>
    <t>a baby to the [x]</t>
  </si>
  <si>
    <t>CLCL_060</t>
  </si>
  <si>
    <t>(The girl gave the monkey a rabbit. Your turn. The pig sent- or Piglet sent..) he pushing the baby (mmhmm?) Tigger was putting it up (That's good. You can just say 'Piglet sent the baby to Tigger.)</t>
  </si>
  <si>
    <t>he pushing the baby (mmhmm?) Tigger was putting it up</t>
  </si>
  <si>
    <t>the cat to the girl</t>
  </si>
  <si>
    <t>(A boy showed..) the girl the rabbit</t>
  </si>
  <si>
    <t>the girl the rabbit</t>
  </si>
  <si>
    <t>slight error in target prompt article</t>
  </si>
  <si>
    <t>a fish to monkey</t>
  </si>
  <si>
    <t>(The pig showed a cat to the tiger- Or Piglet showed a cat to Tigger. Alright your turn. The king brought..) the lady a dog</t>
  </si>
  <si>
    <t>the lady a dog</t>
  </si>
  <si>
    <t>the fish to a lady</t>
  </si>
  <si>
    <t>the boy a fish</t>
  </si>
  <si>
    <t>(The prince sent a cat-) *sneeze* (Bless you. -to the princess) *sneeze* (Bless you again! I'll show you that one again because I think you were sneezing. The prince sent a cat to the princess. Your turn) [xx] (Beautiful- you show me in a minute. The girl sent..) the dog to Boot</t>
  </si>
  <si>
    <t>the dog to Boot</t>
  </si>
  <si>
    <t>(The prince brought the princess a rabbit. Your turn. … Is it the girl or Dora?) Dora (Dora brought..) a fish to Boot</t>
  </si>
  <si>
    <t>a dog to the boy</t>
  </si>
  <si>
    <t>the girl … a dog</t>
  </si>
  <si>
    <t>CLCL_061</t>
  </si>
  <si>
    <t>the baby to Tigger</t>
  </si>
  <si>
    <t>showed a rabbit to the girl</t>
  </si>
  <si>
    <t>a puppy for the princess</t>
  </si>
  <si>
    <t>the man the fish</t>
  </si>
  <si>
    <t>after this trial, 3min toilet break</t>
  </si>
  <si>
    <t>a doggy to the man</t>
  </si>
  <si>
    <t>(The king threw the queen a rabbit.) You don't throw- (We don't throw rabbits do we? And what happened here, ready [name]? The boy showed..) the rabbit to the girl</t>
  </si>
  <si>
    <t>the rabbit to the girl</t>
  </si>
  <si>
    <t>CLCL_062</t>
  </si>
  <si>
    <t>a cat (yep, who to?) the bunny rabbit (Yep and who- Who's the bunny rabbit?! The pig, or you can call him a bunny rabbit, it really doesn't matter actually what you call him, The bunny, he could be a bunny, passed the cat to.. who's this?) the tiger (Yes good job! That's what I want you to do. Finish and say the whole thing.)</t>
  </si>
  <si>
    <t>disallowable prompt 'who to?'</t>
  </si>
  <si>
    <t>(The king brought the queen a puppy. Oh. Your turn next. What's happening here? You tell me [name].) Um (The pig showed..) … a cat (yep? Tell me more) there's- the tiger [yes] (That's right! He showed the cat to the tiger.)</t>
  </si>
  <si>
    <t>a cat (yep tell me more) the tiger</t>
  </si>
  <si>
    <t>a [table?]- the doggy (Yep, to who?) um the builder (Well done. Can you say that whole thing? The lady threw..) a dog (yep) to the builder</t>
  </si>
  <si>
    <t>the doggy</t>
  </si>
  <si>
    <t>a teddy (mmhmm) it's a teddy (yep tell me more (It's a teddy!) yeah but who's he showing it to? Um.. the liger (Good job, showing the teddy TO the tiger. Say the whole thing, ok?)</t>
  </si>
  <si>
    <t>a teddy</t>
  </si>
  <si>
    <t>a bunny rabbit… for the builder</t>
  </si>
  <si>
    <t>a bunny rabbit for the builder</t>
  </si>
  <si>
    <t>a bunny rabbit (…) at monkey</t>
  </si>
  <si>
    <t>a bunny rabbit at monkey</t>
  </si>
  <si>
    <t>a dog (yep?) … (tell me more) for the prince (pardon?) For the prince (Yeah the prince gave the dog.. Tell me more) the fairy (The fairy! She can be a fairy that's totally fine.) (Mum: we don't know princesses.)</t>
  </si>
  <si>
    <t>a dog for the prince</t>
  </si>
  <si>
    <t>noun error - didn't know princess</t>
  </si>
  <si>
    <t>a bunny rabbit (yep?) for the fairy</t>
  </si>
  <si>
    <t>a bunny rabbit for the fairy</t>
  </si>
  <si>
    <t>a fishy (yep? Tell me more) um, in the trolley (on the trolley. That's right he did. But who did he send it to?) at the girl! (That's right, yeah. Can you say it again for me? You tell me what's happening here. The boy sent…) a fishy (yep) to the girl</t>
  </si>
  <si>
    <t>a fishy in the trolley</t>
  </si>
  <si>
    <t>the bunny rabbit (yep?) to the fairy</t>
  </si>
  <si>
    <t>the bunny rabbit to the fairy</t>
  </si>
  <si>
    <t>a kitty cat (mmhmm? Tell me more) um to the fairy</t>
  </si>
  <si>
    <t>a kitty cat to the fairy</t>
  </si>
  <si>
    <t>(The lady gave a fish to the man) to the builder (or to the builder, sorry. Yes I've gotta remember these labels. Your turn! The king passed..) the- the- to the fairy (What did she do? What did he do sorry?) He's bring a baby (Yep, tell me the whole thing again ready? The king passed..) a baby (yep... tell me more) to the queen</t>
  </si>
  <si>
    <t>CLCL_063</t>
  </si>
  <si>
    <t>the cat to Tigger</t>
  </si>
  <si>
    <t>Tigger a baby</t>
  </si>
  <si>
    <t>a rabbit to the boy</t>
  </si>
  <si>
    <t>(The pig- oh Piglet sorry, sent Tigger a baby. Your turn. The girl gave..) a rabbit to the monkey</t>
  </si>
  <si>
    <t>prime correction</t>
  </si>
  <si>
    <t>a doggy to the princess</t>
  </si>
  <si>
    <t>the prince sent a cat to the lady</t>
  </si>
  <si>
    <t>CLCL_064</t>
  </si>
  <si>
    <t>(The pig passed..) .. (You finish it) ah, the kitten (yeh, who to? You tell me the whole thing.) .. (What do you think this is?) a tiger (Yeah, so, the pig passed.. the cat.. And you finish) tiger (Well done, the cat TO the tiger. We say the whole thing.)</t>
  </si>
  <si>
    <t>the kitten</t>
  </si>
  <si>
    <t xml:space="preserve">(The king brought a puppy to the queen. Actually you know what, we're going to do that again. That is not right. Aha! Typo! That's why. Alright let's try again. Here we go. The king brought the queen a puppy. Alright, your turn. The pig showed..) a kitten (yeh, who to? who's that?) tiger (Yeah, say the whole thing for me) Tiger! (The pig showed..) kitten (to..) .. the tiger! (well done, that's it. Say the whole thing. </t>
  </si>
  <si>
    <t>a kitten</t>
  </si>
  <si>
    <t>error in prime presentation - POD then corrected and redone as DOD. Disallowable prompts, participant never actually produced a dative</t>
  </si>
  <si>
    <t>a dog for the man</t>
  </si>
  <si>
    <t>a monkey (mmhmm) a rabbit</t>
  </si>
  <si>
    <t>(The boy sent..) … (You tell me what happened) a fish to the girl</t>
  </si>
  <si>
    <t>a rabbit for the queen</t>
  </si>
  <si>
    <t>a kitten to the prince</t>
  </si>
  <si>
    <t>baby to the queen</t>
  </si>
  <si>
    <t>CLCL_065</t>
  </si>
  <si>
    <t>(The pig passed a cat to the tiger. Pretty cool huh? Your turn. The boy passed..) the fish to the girl</t>
  </si>
  <si>
    <t>puppy (yep, tell me more. … Do you remember what she is? You can call her whatever you want. What do you think she is?) a king (a king and a queen, do you think? Or a princess? Or a girl?-) a queen (-You can call her a girl if you like) a girl (yeah so let's do that again, ready? The king brought..) a puppy dog (yep... tell me more.. who did he give it to?) the queen (Yes! The king gave a puppy to the queen. Finish it and say the whole thing.)</t>
  </si>
  <si>
    <t xml:space="preserve">a puppy dog </t>
  </si>
  <si>
    <t>the cat over to the princess</t>
  </si>
  <si>
    <t>a turkey- um, the pig sent a baby to the tiger</t>
  </si>
  <si>
    <t>the pig sent a baby to the tiger</t>
  </si>
  <si>
    <t>the baby to the king</t>
  </si>
  <si>
    <t>the man the dog</t>
  </si>
  <si>
    <t>[food?] for the monkey</t>
  </si>
  <si>
    <t>(The lady gave- or the girl gave..) .. (Sorry I'll show you that again. The girl gave..) a fish to the boy</t>
  </si>
  <si>
    <t>a fish to the boy</t>
  </si>
  <si>
    <t>CLCL_068</t>
  </si>
  <si>
    <t>(The pig sent a baby to the tiger- or sorry, it's a rabbit! The rabbit sent the baby to the tiger. Ok now it's [name]'s turn. You tell me what's happening.) (Mum: just tell me what you're watching, ok?) I want you to help me. (Mum: Yeah just tell it to mummy then) I need you to help me (Yep, you tell Mum (Mum: I'll help you) (Can you tell Mum what's happening?) (mum: Watch the video! Just watch the video. Don't worry about saying anything.) (The girl gave..) (Mum: what did she give?) I don't know (Mum: what is that? Watch the video please.) It's a rabbit. (Mum: It's a rabbit, yeah.) (yeah) (Mum: and what did she do?) she gave it to the monkey</t>
  </si>
  <si>
    <t>It's a rabbit (prompt) She gave it to the monkey</t>
  </si>
  <si>
    <t>a rabbit to Bob the Builder</t>
  </si>
  <si>
    <t>(The rabb- the bunny showed..) (Mum: what's the rabbit got?) a baby (Mum: and what's she doing with the with the baby?) she's showing it to the tiger</t>
  </si>
  <si>
    <t>a baby. She's showing it to the tiger</t>
  </si>
  <si>
    <t>disallowable prompts</t>
  </si>
  <si>
    <t>(The girl threw..) (mum: what did the girl throw?) a puppy to Bob the builder</t>
  </si>
  <si>
    <t>a puppy to Bob the builder</t>
  </si>
  <si>
    <t>borderline prompt</t>
  </si>
  <si>
    <t>(The lady gave a fish to Bob! … or the girl gave a fish to Bob. Your turn) No Bob the builder (Bob the builder, sorry. I'll say it right next time. The king gave..) a baby (Mum: to..) I don't know (Mum: It's the lady!) (Yeah you can just call it whatever you want) the lady</t>
  </si>
  <si>
    <t>(The prince sent- or the man sent..) a cat to the princess</t>
  </si>
  <si>
    <t>(The pr- the man brought..) … (Mum: what did the man bring?) a rabbit to the princess</t>
  </si>
  <si>
    <t>mistrial</t>
  </si>
  <si>
    <t>(The lady passed a puppy to Bob the builder) No it's a girl (Oh sorry- the girl. Wow I'm really having- I'm really struggling with these labels.) (Mum: haha you've got to remember the exact right word) (So many changes!) It's a lady. (Yeah? It is? Ok good. Alright. The boy sent a fish to the lady. Wait! I'm sposed to- you're sposed to do that! Let's do that again.) (Mum: haha) (Let's go back to this one.. this was Manda's turn. The girl passed a puppy to Bob the builder. Now it's your turn.) I want you to help me Mummy. (Mum: I can help you. The boy.. what did the boy do?)  (The boy sent..) a fish to the lady</t>
  </si>
  <si>
    <t>mistrial - incorrect administration</t>
  </si>
  <si>
    <t>(The king threw..) the lady (Mum: what did she throw?) the king throwed a rabbit to the lady</t>
  </si>
  <si>
    <t>the king throwed a rabbit to the lady</t>
  </si>
  <si>
    <t>CLCL_069</t>
  </si>
  <si>
    <t>a baby (Well done! Tell me more.) A tiger carry a baby (That's right, a tiger is carrying a baby. So the pig sent the baby to the tiger.)</t>
  </si>
  <si>
    <t>(The boy threw..) … (Tell me what happened) a [xx] and a [xx] a a kitty (Yeah that's right, tell me more) (Who to? Who did he throw the cat to?) (Yeah so you tell me the whole thing ready? The boy threw..) a cat at a princess</t>
  </si>
  <si>
    <t xml:space="preserve">a kitty </t>
  </si>
  <si>
    <t>a rabbit (yep?) … (Yep tell me all of it. The rabbit…) it gave it to [it?] (Yeah..) You have to share. (Yeah that's true you do share that's really good but do you think maybe that's that's- is that a girl? Ok so let's do that again ready? The boy showed..) ... (What did he show?) a rabbit (Yes who to?) Hers say yes (Yeah she said yes cos he was showing it to the girl. Can you say that? The rabbit to the girl.) say.. the girl</t>
  </si>
  <si>
    <t>a fishy (yep? Tell me more) and monkey got the fishy</t>
  </si>
  <si>
    <t>a fishy</t>
  </si>
  <si>
    <t>a doggy (yep) … (you can just call it whatever you want) (The king brought the doggy..) *Dad's phone rang and Dad answered, left room* (You say 'to'..) *participant upset* (Oh Dad's just on the phone- he's coming straight back. He's just out the door. We're gonna play the fun game. Yeah. So, the king brought the doggy to the queen! Or we can call her a girl or a lady. Whatever you want, ok?) A king! (A king and a queen, yep, ok.)</t>
  </si>
  <si>
    <t>a doggy</t>
  </si>
  <si>
    <t>fishy (yep) for a girl</t>
  </si>
  <si>
    <t>fishy for a girl</t>
  </si>
  <si>
    <t>a fish for a man</t>
  </si>
  <si>
    <t>a doggy for a … that! (Yep, who's that?) monkey!</t>
  </si>
  <si>
    <t>a doggy for that</t>
  </si>
  <si>
    <t>a fishy (yep) a monkey</t>
  </si>
  <si>
    <t>a fishy a monkey</t>
  </si>
  <si>
    <t>(The lady passed..) (You tell me, what happened?) *whinge* are we almost finished? (do you want to go- oh almost! We've only got 1 2 3 4 to go - not many. But you tell me this one, look! The lady passed..) the.. dog for a man</t>
  </si>
  <si>
    <t>the dog for a man</t>
  </si>
  <si>
    <t>(The king threw a rabbit to the queen.) Almost finished? (Your turn. Yeah nearly finished, we've only got- what's this one?- 3 more to go, ready? Here we go. The boy showed..) … (You tell me.) The girl… a girl showed a man a doggy</t>
  </si>
  <si>
    <t>a girl showed a man a doggy</t>
  </si>
  <si>
    <t>noun error - did she think the boy was a girl?</t>
  </si>
  <si>
    <t>(The prince gave a puppy to the princess. Look! *gasp* And now it's your turn. What's happened here? It's the last one.) *whinge* (Dad: Last one) (Last one and then we're done. Oops, went too far. Ready? You just watch, ready? The king gave..) … (What do you think?) ...*whinge* (Dad: Finish this last one..) (Can you have a guess?) (Dad: Finish this last one darling) We're done- I'm gonna put the laptop away after this, we've got a different game to play. With cards. Do you wanna play a card game? Yeah! Let's watch this one) (Dad: Ok finish this one and then you can play cards) (Ready? The king gave..) a baby for this girl</t>
  </si>
  <si>
    <t>a baby for this girl</t>
  </si>
  <si>
    <t>significant prime interference</t>
  </si>
  <si>
    <t>CLCL_070</t>
  </si>
  <si>
    <t>a dog (mm tell me more) he passed it- the dog to the queen</t>
  </si>
  <si>
    <t>he passed the dog to the queen</t>
  </si>
  <si>
    <t>a kitty to the princess</t>
  </si>
  <si>
    <t>(The pig sent..) a [stroller] with a baby (mmhmm.. Tell me more) and she wasn't-he was- (You tell me the whole thing. I'll play it again. Because d'you remember- who's this?) I don't know (a tiger! Ok?) Mummy what's the tiger's name? (Oh he has a name but we don't have to know his name if you want you can just call him a tiger.) Mummy.. (Mum: his name's Tigger) (Can you remember Tigger?) His name is Tigger. (He is too. And do you know who that is?) Ah, no. (His name is Piglet. But we'll just call him the pig and tiger. That's easier, yeh?) No, he is- he's Piglet. (He's Piglet and he's Tigger. You want me to use those names?) Yep. (Got it. I will do what you want to do. Let's see it again and you tell me, ready? I'm gonna start you off. Whoops! The pig sent..) the baby to the tiger.</t>
  </si>
  <si>
    <t>significant prime interference - almost 30 clauses. Might have to take initial incomplete response</t>
  </si>
  <si>
    <t>a puppy to the pr- girl</t>
  </si>
  <si>
    <t>a puppy to the builder</t>
  </si>
  <si>
    <t>a fish to the builder</t>
  </si>
  <si>
    <t>CLCL_071</t>
  </si>
  <si>
    <t>a baby on a trolley to the tiger</t>
  </si>
  <si>
    <t>(The boy showed..) ..(You tell me) (Dad: What's happened there?) Dad.. (Dad: Come on) (Yeah Dad's watching) (Dad: Remember to concentrate) (Dad wants to know) (Dad: Concentrate) (You've got to tell him) (Dad: Remember, if you don't concentrate, we don't get to get Lego.) (*gasp* No! We don't want to miss out on Lego!) (Dad: [name] you need to- need to say what's happening.) (Ready? I'll show you again. The boy showed..) a rabbit to the girl</t>
  </si>
  <si>
    <t>(The pig passed the tiger a cat) to the tiger (Ok. And now it's your turn. The boy passed..) a fish to the girl</t>
  </si>
  <si>
    <t>participant repeated end of prime as POD</t>
  </si>
  <si>
    <t>(The prince sent the princess a cat) A a a and the fireman.. (Oh that's right, he's a fireman. I forgot, sorry. Your turn. The girl sent..) a dog to the monkey</t>
  </si>
  <si>
    <t>(The girl brought..) (What's she got, [name]? Look) a fish to the monkey</t>
  </si>
  <si>
    <t>a dog to the Bob</t>
  </si>
  <si>
    <t>(The king threw the queen a rabbit. Your turn) (Dad: Last-) (Look at this!) (Last couple [name].) (Look. Yeah we've only got like 3 left. Here we go..) (Dad: What's happening?) (The boy showed..) (Oh you're gonna miss it! Try it again, ready? I'll play it again. The boy showed..) a dog to the girl</t>
  </si>
  <si>
    <t>(The prince- or, sorry, the fireman, gave the princess a puppy. Your turn. The king gave..) a baby to the princess</t>
  </si>
  <si>
    <t>CLCL_072</t>
  </si>
  <si>
    <t>noun error - meant to be 'the cat to the tiger'</t>
  </si>
  <si>
    <t>the tiger .. the.. (What did he show the tiger? You tell me the whole thing) a cat (Good job!)</t>
  </si>
  <si>
    <t>borderline disallowable prompt</t>
  </si>
  <si>
    <t>the lady threw a dog at the man</t>
  </si>
  <si>
    <t>(The pig showed..) Don't know what that is (Which one? This?) Yep (Yeah that's a baby.) That's a baby (And do you know what that is?) Tiger (good! So now let's say it, ready? The pig showed..) the baby to the tiger</t>
  </si>
  <si>
    <t>(The prince threw a cat to the princess. Oh she caught it. Your turn. The lady brought..) rabbit to the man</t>
  </si>
  <si>
    <t>rabbit to the man</t>
  </si>
  <si>
    <t>the dog to the [xx]</t>
  </si>
  <si>
    <t>(The king threw..) Is she angry? (No I don't think so. She's just got high eyebrows. Does make her look a bit angry! Haha. Can you tell me what's happening? Here we go. The king threw..) the rabbit (mmhmm) to the queen</t>
  </si>
  <si>
    <t>(The lady passed the man a pup-) I always do that (Haha I'll play that again. You always hold on tight? That's good. I'm glad. That's the safe way. Watch this one for me [name]. The lady passed the man a puppy. Your turn. The boy sent..) a a fish to the girl</t>
  </si>
  <si>
    <t>a cat to the queen</t>
  </si>
  <si>
    <t>CLCL_074</t>
  </si>
  <si>
    <t>(The boy passed..) … (You tell me what's happening.) … (What's this?) [x] (Yeah and who's this?) ss.. (A girl isn't it? So you say 'the fish to the girl.' Can you say that for me?) Yeah. (You say it. 'The fish to the girl.') … (He's really taking it in but.. What do you think? Do you want to try a different one?)</t>
  </si>
  <si>
    <t>(The king brought..) (You finish it for me) (What's this?) (Can you tell me what this one is?) … (What is this?) Yeah. (haha) I think (Do you know what it is? It's an animal- which one?) A doggy (Yeah it is a doggy, good job! And she's a queen. So the king gave.. you tell me.) a doggy to her</t>
  </si>
  <si>
    <t>a doggy to her</t>
  </si>
  <si>
    <t>(The boy showed..) … (You finish it. The boy showed..) doggy to the girl</t>
  </si>
  <si>
    <t>(The prince threw..) (You tell me what happened) [cat to] (Yep, cat to the?) cat to (yep and who's this?) the princess (Yep to the princess. Good job.)</t>
  </si>
  <si>
    <t>cat to..</t>
  </si>
  <si>
    <t>vroomed</t>
  </si>
  <si>
    <t>(The pig sent..) (You tell me. Or Piglet, isn't it? Piglet sent.. Who's that?) (You say the whole thing) (Do you know what this is?) a baby (It is a baby! And who's this?) Tigger (So what happened? You tell me the whole thing. Piglet sent..) … (Can you tell me the whole thing?) Yeah (Yeah? What happened?) The Piglet [vroom?]ed a baby to Tigger</t>
  </si>
  <si>
    <t>the Piglet [vroom?]ed a baby to Tigger</t>
  </si>
  <si>
    <t>a baby (yep) gave a baby to um to the queenie</t>
  </si>
  <si>
    <t>gave a baby to the queenie</t>
  </si>
  <si>
    <t>(The king threw the queen a rabbit. I forgot to ask - do we throw animals? Is that a good idea?) It's a rabbit (It is a rabbit. Do we throw rabbits? Should we throw rabbits?) No (No, we shouldn't throw rabbits. Just pretend though. Your turn. The boy showed..) (What's this? The boy showed..) um doggy (yeah tell me more) [that's for?] girl</t>
  </si>
  <si>
    <t>doggy (tell me more) that's for girl</t>
  </si>
  <si>
    <t>(The lady passed..) … (What's this?) Um, doggy (Yep, tell me more) [xx inaudible] (Yep, to the man. I know, it's getting- oh look, this is one of my favourites!)</t>
  </si>
  <si>
    <t>doggy… (tell me more)  [inaudible]</t>
  </si>
  <si>
    <t>a fish to the [x]</t>
  </si>
  <si>
    <t>(The girl sent..) (You tell me the whole thing) (What's this?) doggy (yep tell me more) … (She sent the doggy..) to the monkey</t>
  </si>
  <si>
    <t>doggy</t>
  </si>
  <si>
    <t>fish to the man</t>
  </si>
  <si>
    <t>CLCL_076</t>
  </si>
  <si>
    <t>pushed</t>
  </si>
  <si>
    <t>(The pig sent..) [xx] the tiger [xx] (Pardon? I didn't hear you. D'you want me to play it again, and you say it? Ready? The pig sent..) pushed the trolley to the tiger (He did push the trolley to the tiger. But do you know what this is? It's a baby. Yeah? Can we try again? The pig sent..) pushed the trolley- (with who on it?) the baby (Yeah so the pig sent the baby to the tiger. You're right- he did push the trolley, but we don't have to talk about that, we just want to say who's in it and say what's happening. Gosh you're doing so well! Ok my turn)</t>
  </si>
  <si>
    <t>pushed the trolley to the tiger</t>
  </si>
  <si>
    <t>a rabbit to the other boy</t>
  </si>
  <si>
    <t>(The pig showed the tiger- no, pig passed the tiger a cat. Your turn. The boy passed..) a fish to the boy</t>
  </si>
  <si>
    <t>noun error; prime corrected</t>
  </si>
  <si>
    <t>a baby to the girl prince</t>
  </si>
  <si>
    <t>CLCL_077</t>
  </si>
  <si>
    <t>a cat to… (who to?) cat (yeah you tell me the whole thing. Passed the cat to..) Tigger</t>
  </si>
  <si>
    <t>a cat to..</t>
  </si>
  <si>
    <t>a cat to him (…) to [Piglet?]</t>
  </si>
  <si>
    <t>a cat to him</t>
  </si>
  <si>
    <t>a teddy (to? tell me the whole thing) to bob the builder (good let's try that again, ready? The lady threw..) the … teddy! (to?) builder</t>
  </si>
  <si>
    <t>a baby to him (yep, what's his name?) Piglet (Yeah, or is he Tigger?) Tigger (Yeah he can just- you can just call him a tiger if you're not sure</t>
  </si>
  <si>
    <t>a baby to him</t>
  </si>
  <si>
    <t>(The prince threw the princess a cat. Oh wow. Do we throw animals? That's a bad idea isn't it? Anyway. That's fine. Let's watch again ready? If she catches him it's ok. The prince threw the princess a cat. Your turn.) a builders! (Yeah the lady builder brought..) a rabbit (..) a rabbit to builder!</t>
  </si>
  <si>
    <t>a rabbit to Builder</t>
  </si>
  <si>
    <t>(Your turn.) a rabbit! (The girl gave..) a monkey a rabbit</t>
  </si>
  <si>
    <t>the … to him (you tell me the whole thing) I don't know! (mmhmm. Well that's a princess and that's- you said a teddy didn't you? Yeah? Let me just see what your brother wants first, before we keep going.) *35 seconds of discussion with sibling then with participant about toys and prizes and finishing up* (Ok so you tell me, what is happening here [name] have a look) (Mum: you have to tell me- tell me the story. what's happening here?) (Yeah you tell mum about it!) the bear (Mum: you have to say the whole thing) (The prince gave..) gave a bear to princess</t>
  </si>
  <si>
    <t>the .. to him</t>
  </si>
  <si>
    <t>didn't know noun (teddy/dog).. Clearly POD structure though.</t>
  </si>
  <si>
    <t>a rabbit... to the sky (…) to him (Yeah, you tell me the whole thing. Who's this?) (Mum: Say them all at once) I don't know! (Do you want me to tell you?) (Mum: You just- you can make it up) (I can tell you who it is, it's a queen. But you can call her a girl or a lady or whatever you want. Let's do it again, ready? Now you know it's a queen, let's try again. The king threw..) a rabbit to the queen</t>
  </si>
  <si>
    <t>(The lady passed a puppy to the man. Or, lady builder and man builder. I'll say that one again ready? Mmhmm. It's not playing! The lady builder passed a puppy to the man builder. Your turn. The boy sent..) a fish to him (…) girl</t>
  </si>
  <si>
    <t>a fish to him</t>
  </si>
  <si>
    <t>prime corrected</t>
  </si>
  <si>
    <t>a rabbit (yep) to the princess</t>
  </si>
  <si>
    <t>a cat (…) to the princess</t>
  </si>
  <si>
    <t>CLCL_078</t>
  </si>
  <si>
    <t>a baby … (tell me the whole thing. Who's this?) tiger (That's right! Let's try again, ready? The pig sent..) the baby to the tiger</t>
  </si>
  <si>
    <t>lots of noise from baby sibling in room</t>
  </si>
  <si>
    <t>threw a fish to the monkey</t>
  </si>
  <si>
    <t xml:space="preserve">a puppy (…) princess </t>
  </si>
  <si>
    <t xml:space="preserve">a puppy </t>
  </si>
  <si>
    <t>participant repeated prepositional phrase of prime</t>
  </si>
  <si>
    <t>(The prince brought the princess a rabbit) a rabbit (Whoops! There we go. We'll play the whole thing again. The prince brought the princess a rabbit. Your turn. The girl brought..) a fish to the monkey</t>
  </si>
  <si>
    <t>participant tried to repeat prime</t>
  </si>
  <si>
    <t>a puppy to the boy</t>
  </si>
  <si>
    <t>(The king threw a rabbit to the) to the (queen) We don't throw rabbits! (No we don't. Your turn. The boy showed..) showed.. A puppy um a puppy to the girl</t>
  </si>
  <si>
    <t>CLCL_079</t>
  </si>
  <si>
    <t>rabbit to Bob the Builder</t>
  </si>
  <si>
    <t>baby to the tiger</t>
  </si>
  <si>
    <t>a teddy to Bob</t>
  </si>
  <si>
    <t>the pig showed a cat to the tiger</t>
  </si>
  <si>
    <t>(Your turn.) the girl was giving (The girl brought..) a teddy to the monkey (Wow she did too. I'm gonna say it, um-) no that was a doggy (Oh it was a doggy. Let's go back. Hang on, let me- let's go forward sorry. Let's- Amanda's gonna say it, ready? The girl sent a puppy to the monkey. Just like you said, good job. Your turn. The prince sent..) a cat to the prince (Good job)</t>
  </si>
  <si>
    <t>(The boy sent..) … (You finish it. Try again? You finish this one. The boy sent..) a fish to the lady</t>
  </si>
  <si>
    <t>(My turn. The boy showed a puppy to the girl. Your turn.) Can I eat some cherries? (Yeah you can-) (Mum: Afterwards..) (Can we finish this? We've only got two more to go, or three more to go, and then we can have some cherries. So let me show you my one again. The boy showed a puppy to the girl. Your turn.) a rabbit! (The king threw..) a rabbit to the princess</t>
  </si>
  <si>
    <t>CLCL_080</t>
  </si>
  <si>
    <t>(Now it's your turn. What's happening here? I'm going to start you off. The girl gave- I mean sorry, Dora gave..) had the bunny (mmhmm and who- and tell me more. She gave the bunny..) to Boots!</t>
  </si>
  <si>
    <t>had the bunny</t>
  </si>
  <si>
    <t>corrected prime</t>
  </si>
  <si>
    <t>(The prince threw the princess a cat.) to the princess (mmhmm. Yes he threw the princess the cat. Alright your turn. The lady brought..) a bunny to the man</t>
  </si>
  <si>
    <t>(The girl threw a fish- No sorry Dora threw a fish to Boots. Your turn. The lady threw..) a teddy bear to the man</t>
  </si>
  <si>
    <t>a teddy bear to the man</t>
  </si>
  <si>
    <t>(The pig passed..) … (Do you want me to play that again?) Yep (Yep here we go. The pig passed..) a cat to the tiger</t>
  </si>
  <si>
    <t>a baby to the [kinder?]</t>
  </si>
  <si>
    <t>rolled</t>
  </si>
  <si>
    <t>(The girl sent the monkey- ah sorry, Dora- Dora sent the monkey. [x] saying Dora.. Let's stay that all over again. Amanda's having trouble.) mean to Boots (I did mean to Boots! I've got to remember to call them the right names for you! Are you ready? Dora sent Boots a puppy. Your turn. The prince sent..) um.. rolled a cat to the kinder</t>
  </si>
  <si>
    <t>rolled a cat to the kinder</t>
  </si>
  <si>
    <t>a bunny to the kinder</t>
  </si>
  <si>
    <t>a rollerskate to the fish on the rollerskate he roll it to the girl</t>
  </si>
  <si>
    <t>do you want to count this trial as POD or not?</t>
  </si>
  <si>
    <t>a teddy to the kinder</t>
  </si>
  <si>
    <t>CLCL_081</t>
  </si>
  <si>
    <t>a baby to the boy</t>
  </si>
  <si>
    <t>(The pig showed a cat to the tiger.) Let's do a different one. (A different one, yeah ok.) Cos this is a bit boring. (Oh ok I'll go to the next one. How's this? Is this better?) ahh.. (the king-) [a bit bored] (Oh well you still do it anyway. The king brought..) a puppy to the queen</t>
  </si>
  <si>
    <t>a puppy to the queen</t>
  </si>
  <si>
    <t>(The boy passed..) Why we have new ones? (Oh it's just good to have a different go. Ready you try that one again, ready? The boy passed..) a girl to the girl (Yeah? Try again. What did he pass?) fish (yep?) to the girl</t>
  </si>
  <si>
    <t>a girl to the girl</t>
  </si>
  <si>
    <t>(The king passed the queen a baby. Ooh that was a gentle one wasn't it?) Yeah and I thought he [x wake?] (Yeah that's right ready watch this one. Oops. The lady gave..) There's stars, why are there stars? (I know there's stars) but why? (Oh it's just to make it pretty. [Name] you missed it, ready, here we go! The lady gave..) a fish to the man</t>
  </si>
  <si>
    <t>(The prince brought the princess a rabbit) But we get stuff from there. (Maybe, yeah. But we gotta keep- we gotta finish this game first, ready?) And then not do that again. (No, yeah that's right. Ok ready? Watch this. You missed it last time so I'm gonna play it again. The prince brought the princess a rabbit) A bu- a rabbit (Ok now it's your turn. The girl sent..) sent (or girl brought, sorry.) a fish to the boy</t>
  </si>
  <si>
    <t>(The king threw a rabbit to the queen.) to the queen. (Your turn) Because they're ma- (The boy showed..) a doggy to the girl</t>
  </si>
  <si>
    <t>CLCL_082</t>
  </si>
  <si>
    <t>fish (yep. Tell me all about it) … (Can you say the whole thing? We'll start again ready?) fish! (yes there's more! Who'd he pass the fish to? Ready? We'll start again. Whoops! Let's do it again. The boy passed..) the fish to the girl</t>
  </si>
  <si>
    <t>fish</t>
  </si>
  <si>
    <t>a dog (Yep, the whole thing.) Dog! (Yep…) (You say the whole thing. There's more to it.) Doggy! (Yes, tell me more) Doggy (Haha there's more to it. Who's this?) the queen! (Let's start again then, ready? The king brought..) a dog … the queen… (he brought a dog TO the queen, didn't he? Let's watch again so you know. The king brought a dog to the queen.)</t>
  </si>
  <si>
    <t>a dog… the queen</t>
  </si>
  <si>
    <t>(Piglet showed a baby to Tigger) it's a baby! (Yeah) I [draw] a baby (You do? Look at your one, here we go, ready?) a dog (Your turn. A- The boy showed..) the dog (mm?) to a girl</t>
  </si>
  <si>
    <t>the dog to a girl</t>
  </si>
  <si>
    <t>a cat (…) to the girl</t>
  </si>
  <si>
    <t>CLCL_083</t>
  </si>
  <si>
    <t>a cat to Tigger</t>
  </si>
  <si>
    <t>a dog to the man builder</t>
  </si>
  <si>
    <t>(The prince threw a cat to the princess. Do we throw animals? Is that a good i- No it's a terrible idea. It's just pretend though. This is your turn. The lady builder brought..) a rabbit to the man builder</t>
  </si>
  <si>
    <t>a rabbit to the man builder</t>
  </si>
  <si>
    <t>Boots a rabbit</t>
  </si>
  <si>
    <t>a dog to the (you can call it whatever you want. Maybe a girl? Or a princess?) Girl.. (Do you wanna try again? Here we go. We'll try that one again. The prince gave..) a puppy to the girl</t>
  </si>
  <si>
    <t>a rabbit to the prince</t>
  </si>
  <si>
    <t>prime: "lady builder" "man builder"</t>
  </si>
  <si>
    <t>CLCL_084</t>
  </si>
  <si>
    <t>(The pig passed a cat to the tiger. Well, Piglet and Tigger if you would like, as well. Hang on, let me try that again so that we’re using the right ones. Piglet passed the cat to Tigger. Now it's your turn. The boy passed..) uh [bed?] at the girl</t>
  </si>
  <si>
    <t>[bed] at the girl</t>
  </si>
  <si>
    <t>dog (yep, tell me more.) … (Yeh, tell me more about it. Ready, I'll play it again. The king brought..) a dog (Who to?) the princess</t>
  </si>
  <si>
    <t>dog</t>
  </si>
  <si>
    <t>a [fish] (yep, tell me the whole thing.) (A fish…) Yep (Yep, who to?) the monkey (Great, so let's try that again, the whole thing. The girl threw..) um… fish at the monkey</t>
  </si>
  <si>
    <t>a doggy at [sounded like 'out] the lady</t>
  </si>
  <si>
    <t>a doggy at the lady</t>
  </si>
  <si>
    <t>a that at [sounded like 'out'] the princess</t>
  </si>
  <si>
    <t>a that at the princess</t>
  </si>
  <si>
    <t>a baby (…) (say the whole thing) (Your sister's talking. Ready, watch again. Say the whole thing, remember? Piglet sent..) a baby out.. out.. out… side</t>
  </si>
  <si>
    <t>a baby outside</t>
  </si>
  <si>
    <t>a doggy out a princess</t>
  </si>
  <si>
    <t>a doggy at a princess</t>
  </si>
  <si>
    <t>on</t>
  </si>
  <si>
    <t>a dog on the man</t>
  </si>
  <si>
    <t>a beddy to a monkey</t>
  </si>
  <si>
    <t>beddy = trolley that the fish is on</t>
  </si>
  <si>
    <t>(The king passed the queen a baby.) I already did that (Yeah you did that one. This is my turn. This one's yours: The lady gave..) a bed to a man</t>
  </si>
  <si>
    <t>a bed to a man</t>
  </si>
  <si>
    <t>bed = trolley that the fish is on</t>
  </si>
  <si>
    <t>CLCL_085</t>
  </si>
  <si>
    <t>the cat (yep, tell me more) the pig (mhmm) say the [x] to the… cat (Yep, showed, oh sorry sweetie I didn't hear you. Amanda wasn't listening very well. Ready you tell me the whole thing. The pig showed..) showed the cat (mmhm. Yep. Tell me the whole thing. You're gonna tell me Who they show it TO. .. Who does he show it to?) Um, the lion</t>
  </si>
  <si>
    <t>the dog to the boy</t>
  </si>
  <si>
    <t>the lion at the baby</t>
  </si>
  <si>
    <t>the monkey to the rabbit</t>
  </si>
  <si>
    <t>a woof to the king- the woof to the princess</t>
  </si>
  <si>
    <t>the woof to the princess</t>
  </si>
  <si>
    <t>the rabbit to the princess</t>
  </si>
  <si>
    <t>CLCL_086</t>
  </si>
  <si>
    <t>(The girl gave a rabbit to the monkey. Well, or, Dora gave a rabbit to the monkey. Your turn, what's happening here? The pig sent..) the baby to the tiger</t>
  </si>
  <si>
    <t>(The lady brought the man a rabbit. Your turn, ooh what's happening here? The prince threw…) the cat (yep, tell me more… who'd he throw it to?) the princess</t>
  </si>
  <si>
    <t>the doggy to the princess</t>
  </si>
  <si>
    <t>the doggy to the monkey</t>
  </si>
  <si>
    <t>the doggy to the lady</t>
  </si>
  <si>
    <t>noun error - should be (The lady passed..) the dog to the man</t>
  </si>
  <si>
    <t>CLCL_087</t>
  </si>
  <si>
    <t>the fish (yep, tell me more) the lady</t>
  </si>
  <si>
    <t>the fish (yep tell me more) the lady</t>
  </si>
  <si>
    <t>the puppy (yep?) to a queen</t>
  </si>
  <si>
    <t>the puppy to a queen</t>
  </si>
  <si>
    <t>the fish (yep?) to the monkey</t>
  </si>
  <si>
    <t>(The boy showed..) … the dog (yep, tell me more) the girl (that's right, TO the girl)</t>
  </si>
  <si>
    <t>the dog (yep tell me more) the girl</t>
  </si>
  <si>
    <t>the cat (mm?) to the princess</t>
  </si>
  <si>
    <t>the baby (…) the tiger</t>
  </si>
  <si>
    <t>the queen (mmhmm) the baby</t>
  </si>
  <si>
    <t>the puppy. She's wanna give them for her. (Maybe. Who did he- You tell me the whole thing. He showed the puppy..) to the girl</t>
  </si>
  <si>
    <t>the man to the puppy</t>
  </si>
  <si>
    <t>(The prince brought the princess a rabbit. Your turn. Ooh where's she going? The girl brought..) a fish (…) the monkey</t>
  </si>
  <si>
    <t>a fish (…) the monkey</t>
  </si>
  <si>
    <t>the fishy at (yep? You say it) [x - sounded like 'does'] the man</t>
  </si>
  <si>
    <t>the fishy at the man</t>
  </si>
  <si>
    <t>CLCL_088</t>
  </si>
  <si>
    <t>(The girl gave..) … (tell me) the girl gave the bunny (yep, tell me more.) I don't know what this is. (Is that a monkey?) Yeah (Ok let's try again ready? You tell me the whole thing now you know he's a monkey. Here we go! The girl gave..) a bunny to the monkey</t>
  </si>
  <si>
    <t>a bunny to the monkey</t>
  </si>
  <si>
    <t>the bunny to the boy</t>
  </si>
  <si>
    <t>the tiger the baby</t>
  </si>
  <si>
    <t>a bear to the boy</t>
  </si>
  <si>
    <t>the tiger the kitty</t>
  </si>
  <si>
    <t>the baby (yeh? Tell me more) … what's that? (That's a queen. Now you know, you wanna tell me the whole thing? The king gave..) the baby to the queen</t>
  </si>
  <si>
    <t>the baby to the queen</t>
  </si>
  <si>
    <t>(The girl sent the monkey a puppy) on a strool- a stroll..- (Ok your turn. The prince sent..) a cat on a stroller (mmhmm… tell me more) for the [castle-x?] (It's a princess. Or a girl. Let's try it again- op! Let's try it again ready? The prince sent..) a kitty to the princess</t>
  </si>
  <si>
    <t>corrected with prompts</t>
  </si>
  <si>
    <t>(The lady passed a puppy to the man. Or the boy) that's Bob the Builder! (It is. Do you want to call it Bob the Builder?) Yeah it- (Let's watch that again. Yeah, you can- we can call it that. The lady passed a puppy to Bob.) Yes. (Your turn. The boy sent..) ... (you tell me) fish! (yep) a girl (Yep, fish TO the girl. You say the whole thing.)</t>
  </si>
  <si>
    <t>fish (yep) a girl</t>
  </si>
  <si>
    <t>(The king threw..) all the way to the princess (Yeh you tell me, what is it though? You tell me the whole thing. Ready? Let's watch it-) a rabbit! (Try again. The king threw..) … bunny (mmhmm) a queen (Yep, TO the queen.)</t>
  </si>
  <si>
    <t>bunny (mmhmm) a queen</t>
  </si>
  <si>
    <t>CLCL_089</t>
  </si>
  <si>
    <t>(The prince threw the cat to the princess.) You can't throw a cat (No! I was gonna say that. You're so right. Here's your turn. The lady brought..) a rabbit (good job. Can you tell me more?) Yeah (Let's do it again. Tell me more. The lady brought..) a rabbit (yep?) ... (who to?) the boy</t>
  </si>
  <si>
    <t>(Dora threw Boots a fish) You can't throw fish! (No you can't. Your turn. The lady threw..) a dog (mmhmm) to the boy</t>
  </si>
  <si>
    <t>(The boy passed a fish to the girl.) You're allowed to pass fish (Mmm that's a nice way to do it isn't it?) Yeah (Your turn. The pig passed..) a cat (yep?) to the tiger</t>
  </si>
  <si>
    <t>(Your turn. The prince sent..) How did she fall down? (I don't- She's just sitting down. Here we go, well watch that one again and you tell me again. The prince sent..) a kitty to the princess</t>
  </si>
  <si>
    <t>(Dora brought Boots a fish) heeheehee that's- (And what's your one? Here we go.. The prince brought..) a rabbit (yep?) to the girl</t>
  </si>
  <si>
    <t>a rabbit? You can't throw rabbits! (tell me the whole thing. Ready? I'll play it again. The king threw…) I need to go closer! (Go closer) I'm going closer (You can do that. Mmhmm. Alright? Ready? I'll play it) I'm closer. (Good job! Now you can see it, good point. There we go) *sigh* (The king threw..) a rabbit?! (yep) um to the girl?</t>
  </si>
  <si>
    <t>CLCL_090</t>
  </si>
  <si>
    <t>the girl gave the bunny (yep tell me more) … (you tell me who she gave it to. Who did she gave it to?) monkey (Yeah that's right! So the girl gave the bunny to the monkey. Say the whole thing.)</t>
  </si>
  <si>
    <t>the girl gave the bunny</t>
  </si>
  <si>
    <t>(The prince threw the cat to the princess. *gasp* Do we throw animals? That's a terrible idea. Luckily she caught it. But that's ok. Next, your one. Ooh where's she going? The lady brought..) the lady brought a bunny to the boy</t>
  </si>
  <si>
    <t>the lady brought a bunny to the boy</t>
  </si>
  <si>
    <t>pig showed a baby (yep) tiger</t>
  </si>
  <si>
    <t>the dog (… tell me more) … (Can you tell me the whole thing? Ready? Watch again. She threw the dog, but to somebody. The lady threw..) the boy to the dog (The boy to the dog? Or the dog to the boy?)</t>
  </si>
  <si>
    <t>the pig showed a cat (yep) tiger</t>
  </si>
  <si>
    <t>a cat (yep) tiger</t>
  </si>
  <si>
    <t>the pig passed a cat (yep?) (Mum: to..) to the tiger</t>
  </si>
  <si>
    <t>the pig passed a cat</t>
  </si>
  <si>
    <t>a baby (mm?) to the princess</t>
  </si>
  <si>
    <t>a cat (yep?) to the princess</t>
  </si>
  <si>
    <t>the prince brought a bunny to the princess</t>
  </si>
  <si>
    <t>the boy sent a fish to a lady</t>
  </si>
  <si>
    <t>the bunny… he give it to the lady</t>
  </si>
  <si>
    <t>a dog (…) to the princess</t>
  </si>
  <si>
    <t>CLCL_091</t>
  </si>
  <si>
    <t>(Your turn. Oh where's he going? The king brought..) (Mum: what's happening?) (You can call them whatever you want remember) Um I don't know. (Do you think that might be a dog? A puppy dog?) Yeah puppy dog (And this is the queen. Or you can call her a girl or a lady, whatever you want. Let's watch again., ready?) A girl (Now you know. The king brought..) a puppy dog (yeh? tell me more) (Mum: who did he bring it to?) (yeah) ... a king (Yeah you can call her a king as well, doesn't matter sweetie)</t>
  </si>
  <si>
    <t>a puppy dog</t>
  </si>
  <si>
    <t>(Wendy threw a puppy to Bob. Do we throw dogs? No, that's a terrible idea. Lucky it's just pretend. Ok here's your turn. Dora threw..) a fishy (yep? Tell me more) (*whisper prompt*) Boots (yeah to Boots! Good job!)</t>
  </si>
  <si>
    <t>(Wendy brought Bob a rabbit) uh (That was nice passing. Your turn. The prince threw..) the kitty cat to the girl</t>
  </si>
  <si>
    <t>the kitty cat to the girl</t>
  </si>
  <si>
    <t>participant repeated prime prep phrase</t>
  </si>
  <si>
    <t>the girl a baby</t>
  </si>
  <si>
    <t>(The king threw the queen a rabbit. She caught it, thank goodness. Your turn. The boy showed..) the puppy dog a girl</t>
  </si>
  <si>
    <t>the puppy dog a girl</t>
  </si>
  <si>
    <t>(The boy sent a fish to the girl.) (Mum: *laughs*) (That's a weird way to give a fish, isn't it? Your turn. The lady passed- I mean sorry, Wendy passed..) a dog to Bob the Builder</t>
  </si>
  <si>
    <t>a dog to Bob the Builder</t>
  </si>
  <si>
    <t>Boots a dog</t>
  </si>
  <si>
    <t>Bob a fish</t>
  </si>
  <si>
    <t>CLCL_092</t>
  </si>
  <si>
    <t>(The girl gave a rabbit to the monkey. Now it's your turn. What's happening here? The pig sent..) a dolly (yep, tell me more) uh, I don't know (Ok, that's ok. He sent the dolly to the tiger.)</t>
  </si>
  <si>
    <t>a dolly</t>
  </si>
  <si>
    <t>a cat (mmhmm) (tell me more) I don't know (Oh, this is a princess) Yeah (Ok, so let's try again ready? Watch this. The prince threw..) a cat to the princess</t>
  </si>
  <si>
    <t>a puppy dog (mmhmm) to the princess</t>
  </si>
  <si>
    <t>(The king threw the queen a rabbit) Luckily she caught it (Yeah lucky! Gosh. Ok your turn. The boy showed..) a puppy dog to the girl</t>
  </si>
  <si>
    <t>a puppy dog to the girl</t>
  </si>
  <si>
    <t>CLCL_093</t>
  </si>
  <si>
    <t>passed the cat to the tiger</t>
  </si>
  <si>
    <t>(The prince threw a cat to the princess.) We don't throw the animals. (No that's right. Your turn. The lady brought..) a bunny! (Yep, tell me more) for the boy</t>
  </si>
  <si>
    <t>a bunny for the boy</t>
  </si>
  <si>
    <t>the monk- rabbit the monkey</t>
  </si>
  <si>
    <t>the rabbit the monkey</t>
  </si>
  <si>
    <t>the princess a puppy</t>
  </si>
  <si>
    <t>the prin- for- (Yeah you have a guess. What do you think he did? Show- have a look again ready?) don't know (The king threw..) (Sibling: *whispered something*) (You can't tell her..) .. (Did he throw.. what?) doggy (Yeah what did he throw?) doggy! (yep tell me more) no (Oh do you know what she is? She can be a queen or a princess or a girl. You can call her whatever you want. Ok, let's try again ready? The king threw..) princess a bunny!</t>
  </si>
  <si>
    <t>princess a bunny</t>
  </si>
  <si>
    <t>too much prompting?</t>
  </si>
  <si>
    <t>the fish! (yeah tell me more) to the girl</t>
  </si>
  <si>
    <t>a bunny! … to the princess</t>
  </si>
  <si>
    <t>a cat (Yep tell me more) to the princess</t>
  </si>
  <si>
    <t>a baby (yep) to the king</t>
  </si>
  <si>
    <t xml:space="preserve">noun error  </t>
  </si>
  <si>
    <t>CLCL_094</t>
  </si>
  <si>
    <t>(The pig passed…) (Can you tell me what happened?) the cat (yep) to the tiger</t>
  </si>
  <si>
    <t>(The pig showed..) (You tell me) a t- the cat (yep? Tell me more) the tiger (That's right, you say the whole thing, the cat to the tiger.)</t>
  </si>
  <si>
    <t>the cat (tell me more) the tiger</t>
  </si>
  <si>
    <t>(The lady threw..) (you tell me) the man (Pardon?) the man (Yeah but do you know- oh do you know what this is? I can play it again for you. That's a puppy. Yep? The lady threw… you tell me) (You tell me the whole thing) the lady threw the puppy to the man</t>
  </si>
  <si>
    <t>the lady threw the puppy to the man</t>
  </si>
  <si>
    <t>a baby (mmhmm) to the tiger</t>
  </si>
  <si>
    <t>a rabbit (…) to the man</t>
  </si>
  <si>
    <t xml:space="preserve">a rabbit to the man </t>
  </si>
  <si>
    <t xml:space="preserve">(The girl gave..) … (You tell me what happened) a pup- a rabbit (mhmm) to the monkey </t>
  </si>
  <si>
    <t>(The prince gave..) … the princess a puppy</t>
  </si>
  <si>
    <t>(The king threw..) …. A rabbit (yep good job. Tell me more) the queen</t>
  </si>
  <si>
    <t>a rabbit (tell me more) the queen</t>
  </si>
  <si>
    <t>(The boy sent..) … (tell me) a fish to the girl</t>
  </si>
  <si>
    <t>(The prince brought..) … (you tell me) a rabbit to the princess</t>
  </si>
  <si>
    <t>(The prince sent..) … (you tell me) … (what happened [name]?) he sent a puppy to the princess (Yeah good job. Is that a puppy?) Ohh.. A cat.</t>
  </si>
  <si>
    <t xml:space="preserve">he sent a puppy to the princess </t>
  </si>
  <si>
    <t>(The king passed..) (you tell me) a baby to the princess</t>
  </si>
  <si>
    <t>CLCL_095</t>
  </si>
  <si>
    <t>the fish (yep. … tell me more. Who to? You tell me the whole thing. You gotta tell me about the girl as well, ready? The boy passed..) the fish! … Why- why'd he- (Who's that? That's a girl, yeah. You gotta say who he's passing it to. He passed it to the girl!)</t>
  </si>
  <si>
    <t>a dog … a dog to the girl</t>
  </si>
  <si>
    <t>the baby. (…) *noise in background* (who's that?) that [sibling name]? (Hmm? No.. Yeah [sib]'s making noises out there isn't he? But that's a tiger, remember? Yeah let's do it again ready?) *groan* (Watch this. The pig sent..) a baby! (Yep, tell me more) pig sent the baby (yes. who did she send it to?) the tiger</t>
  </si>
  <si>
    <t>the baby</t>
  </si>
  <si>
    <t>(The king gave..) a baby (yeh? Tell me the whole thing.) … the king gave the baby (Yeh. Tell me more. Who to? Who'd he give the baby to?) the princess</t>
  </si>
  <si>
    <t>(The king threw a rabbit to the queen. Do we throw rabbits? No way. Your turn.) Rabbits hop (Yeah? They do hop, you're right. The boy showed..) the teddy. (mmhmm. Remember the whole thing. The boy showed the teddy…) to the girl</t>
  </si>
  <si>
    <t>the teddy</t>
  </si>
  <si>
    <t>the dog (mmhmm. Remember the whole thing) the dog (Yeah, the dog to..?) the man</t>
  </si>
  <si>
    <t>a fish (yep? Tell me more) The girl [and] the fish (Yeah tell me more) the girl give the fish (who's this?) monkey (*gasp* to the monkey! That's right. The whole thing remember? To the monkey.)</t>
  </si>
  <si>
    <t>a dog (mmhmm) monkey (TO the monkey. That's right, good job.)</t>
  </si>
  <si>
    <t>a dog (mmhmm) monkey</t>
  </si>
  <si>
    <t>a fish (…) my turn? (Yep the lady gave a fish..) to the man</t>
  </si>
  <si>
    <t>CLCL_096</t>
  </si>
  <si>
    <t>(The girl threw the monkey-) to the- (a fish.) fish (She threw a monkey a fish. That's right. Your turn.) *distracted by sibling* Hey [sib]! (Mum: Oh [sib] sit down.) (The lady threw..) baby baby (Mum: Oh [name], [name].. Ok, nice-) (You tell me) (Mum: Pay attention) (I'll play it again, ready? Watch this. The lady threw..) (Mum: haha. I don't know what that is.) (It can be a dog or-) (Mum: oh ok) (-a puppy or whatever you think. What do you reckon? You can make up-) a doggy! (Yeah what did she do? Tell me. The lady threw..) the dog to the boy</t>
  </si>
  <si>
    <t>(The pig showed..) (Mum: [name what happ-) (You tell me. You can't speak if it's in your mouth. That's it. Do you want me to play it again? Will I play it again? Watch. The pig showed..) the baby to the tiger</t>
  </si>
  <si>
    <t>(The lady brought..) the [bunny rabbit] (Yep, tell me more) (Mum: what did she-) [sit on] (Pardon?) sit on a bunny (yep?) sitting on a bunny (Haha you're sitting on- You're not sitting on a bunny. That would be very uncomfortable. I wouldn't sit on that. Can you tell me that again [name]? I missed it. Look, ready? The lady brought..) a bunny! (There's more to it? Who's this? Look up here.) (Mum: [name look up. [name] look up.) ... much more prompting with no scorable response</t>
  </si>
  <si>
    <t>the bunny rabbit</t>
  </si>
  <si>
    <t>(The girl gave..) monkey (Pardon?) the monkey (What did she give the monkey?) a girl (Mum: what? *laugh*) (Try again. The whole thing, ready? The girl gave..) girl gave a monkey (a..?) the monkey- *chair fell over* *long (1min20) discussion* (Mum: ok, come on. Pay attention.) (Ok, you tell me this one again ready? The girl gave..) the bunny (yep? tell me more. There's another person there isn't there? Or an animal.) The girl gave the monkey a bunny rabbit</t>
  </si>
  <si>
    <t>too too long between prime and response. Prime should have been re-administered</t>
  </si>
  <si>
    <t>a bunny rabbit to the queen</t>
  </si>
  <si>
    <t>a bunny rabbit (yep tell me more) to the girl</t>
  </si>
  <si>
    <t>a bunny rabbit to the girl</t>
  </si>
  <si>
    <t>(The lady gave the man a fish. And guess what? It's your last turn and then we're finished. And you can have another sticker!) (Mum: what are you doing? Come here) (You're a bit excited and you tripped over. That's alright, it happens.) (Mum: last one!) (Check this out! This is your one. I'll show you mine again cos you missed that one. The lady gave the man a fish. Now it's your turn. The king passed..) a baby (yep tell me more) ... (Thee's someone else there. The king passed..) the baby to the king.</t>
  </si>
  <si>
    <t>CLCL_097</t>
  </si>
  <si>
    <t>a kitten to the princess</t>
  </si>
  <si>
    <t>the her the bunny</t>
  </si>
  <si>
    <t>a doggy to the queen</t>
  </si>
  <si>
    <t>(The boy passed..) This is one that is silly (Yeah, what's happening? The boy passed..) That's a good idea (Yeah that's ok. Passing's nice isn't it? Yeah. Ready, you tell me what's happening. The boy passed..) a fishy to the girl</t>
  </si>
  <si>
    <t>(Wendy gave..) That's a really good way (That's a good idea to give it, isn't it? But what did- You tell me about it. Wendy gave..) a f- Bob a fishy</t>
  </si>
  <si>
    <t>Bob a fishy</t>
  </si>
  <si>
    <t>(The boy sent the girl a fish) That's a good idea (That is a good idea. No throwing, yeah. Your turn. Wendy passed..) a doggy (mmhmm) to Bob the Builder</t>
  </si>
  <si>
    <t xml:space="preserve">(The king threw a rabbit to the queen.) That's not a good idea. (It's not a good idea, no. Here you go, your turn. The boy showed..) That's very good idea (It is a good idea. Can you tell me what's happening? The boy showed..) the queen- I mean, the girl a doggy doggy </t>
  </si>
  <si>
    <t>the girl a doggy</t>
  </si>
  <si>
    <t>CLCL_099</t>
  </si>
  <si>
    <t>a cat (yep, tell me more) tiger [very quiet] (*sneezed* excuse me. Who's this?) tiger (That's right! Let's start again, ready? The pig showed..) a tiger to- A cat to the tiger</t>
  </si>
  <si>
    <t>A cat to the tiger</t>
  </si>
  <si>
    <t>a bunny for the [man]</t>
  </si>
  <si>
    <t>(The prince gave..) queens don't have babies (Oh sometimes they do. What's happening on your one though [name]? Watch, ready? The prince gave..) … [a sister] (You try again, ready? Look at this one) a puppy (Yep tell me more) … (The prince gave..) a puppy to the princess</t>
  </si>
  <si>
    <t>a bunny to the queen</t>
  </si>
  <si>
    <t>a bunny to the girl</t>
  </si>
  <si>
    <t>(The prince sent..) … (You tell me what happened.)… (Do you want to start again-) bi bi (Yeah you start again, ready, here we go. The prince sent..) a cat to the princess.</t>
  </si>
  <si>
    <t>CLCL_100</t>
  </si>
  <si>
    <t>(The pig sent a baby to the tiger. Or lion, if you want. And this is your turn. The girl gave..) the monkey (yep?) don't know (What's that? What's this?) bunny (Yeah well done. So you say, the girl gave the monkey a bunny.)</t>
  </si>
  <si>
    <t>a bunny (mhmm?) man (Yep that's it good job, to the man. You tell me the whole thing. Yeh?)</t>
  </si>
  <si>
    <t>a bunny (mmhmm?) man</t>
  </si>
  <si>
    <t>a tiger (mmhmm?) baby (well done!)</t>
  </si>
  <si>
    <t>a tiger (mhmm) baby</t>
  </si>
  <si>
    <t>the doggy (…) man (That's right, you've got to say TO the man.)</t>
  </si>
  <si>
    <t>the doggy … man</t>
  </si>
  <si>
    <t>a cat (…) lion (Yep but can you say the whole thing, ready? The pig showed..) a lion the cat</t>
  </si>
  <si>
    <t>a lion the cat</t>
  </si>
  <si>
    <t>the cat (yeh?) lion (TO the lion, yep that's right)</t>
  </si>
  <si>
    <t>the cat.. lion</t>
  </si>
  <si>
    <t>the queen gave the baby</t>
  </si>
  <si>
    <t>[a va- ? over?] a cat  (well done!)</t>
  </si>
  <si>
    <t>a shark (tell me the whole thing) the shark! (What's this?) shark (Isn't it a bunny?) No (It's not. Is it a rabbit?) No (Ok, got it. What are you calling it?) a shark (a shark. Ok, you tell me the whole thing though. The prince brought..) a shark (…) The prince brought a sharky (yep, the whole thing remember?) queen (Yeah well done!)</t>
  </si>
  <si>
    <t>a shark (prompt) queen</t>
  </si>
  <si>
    <t>(The boy sent..) a fishy! (…) to the boy</t>
  </si>
  <si>
    <t>a fishy to the boy</t>
  </si>
  <si>
    <t>a shark! (yep?) a queen (well done, to the the queen, good job)</t>
  </si>
  <si>
    <t>a shark (yep) a queen</t>
  </si>
  <si>
    <t>a puppy (mhmm) dunno (I think that's a princess, yeah? Let's try again, ready? The prince gave..) [a kookaburra]… [lots of silliness. No full response given]</t>
  </si>
  <si>
    <t>a puppy</t>
  </si>
  <si>
    <t>CLCL_103</t>
  </si>
  <si>
    <t>a baby (yep, tell me more) um.. (Pardon? You take your hands out, I can't hear you.) Baby (Yep, tell me more) The tiger's picking her up (He is, so we say the- oh you put your hand down so you can speak, ready? The pig sent the baby to the tiger, didn't he?)</t>
  </si>
  <si>
    <t>A baby. The tiger's picking her up</t>
  </si>
  <si>
    <t>(The prince threw..) … (you tell me) cat (yep … the whole thing) whole thing (yeah so let's try again. You remember? We're gonna say the whole thing, ready? The prince threw..) the cat (…) the princess (That's right, to the princess.)</t>
  </si>
  <si>
    <t>the cat (…) the princess</t>
  </si>
  <si>
    <t>(The boy showed..) a rabbit (yep) she went like this (Yeah she did go like that. Can you tell me the whole thing again? Ready? The boy showed..) um, a bunny (Yes tell me more) rabbit (Yep, and.. This one.) um.. Don't know (Try this, ready, you copy me. The boy- Watch this [name], watch. The boy showed the rabbit TO the girl) The boy showed the rabbit to the girl</t>
  </si>
  <si>
    <t>A rabbit</t>
  </si>
  <si>
    <t>(The lady threw the man a puppy) They're not allowed to throw- (We don't do that do we?) No (Ok, Lucky it's pretend. So- Oh I'll show you that again. The lady threw the man a puppy. Now it's your turn. The girl threw..) a fishy! (Yep..) They can't throw fishy.. (You can't throw fish! No. You tell me the whole thing though.) But you- you can just caught them. (You can catch- well look, the monkey caught it, didn't it?) Monkey caught it. (Yeah, luckily. Oops- you'd better sit back on your chair. I don't want you to fall off. Let's watch this one again. You tell me the whole thing, ok, ready? The girl threw..) the fishy! (yes) and the monkey catched it</t>
  </si>
  <si>
    <t>the fishy. And the monkey catched it</t>
  </si>
  <si>
    <t>(The king brought..) dog (mm?) mm. Cat. No not cat, a dog. (Yes? Tell me more) And the cat just wanted- (The cat?! Is there a cat?!) No, there's a doggy. (Who's this, who's this?) the princess (Princess. So the king brought..) a dog (Yep, tell me the whole thing) and the- the king br- give it to her</t>
  </si>
  <si>
    <t>the dog, and the king give it to her</t>
  </si>
  <si>
    <t>a fish (yep?) and he caught it</t>
  </si>
  <si>
    <t>(The king passed the queen a baby) little little tiny baby (it is a very tiny baby. Look at this one. This is your turn. The lady gave..) a fish (…) you're not allowed to give- throw fishies (No, so she gave it, she didn't throw it. That's much better. But you didn't tell me the whole thing. The fish.. Look. ... Oop.) oop. (There we go. The lady gave the f- and you tell me.) the lady gave the fish (yes) to the man</t>
  </si>
  <si>
    <t>the lady gave the fish (yep) to the man</t>
  </si>
  <si>
    <t>borderline prompts</t>
  </si>
  <si>
    <t>a dog (…) to the monkey</t>
  </si>
  <si>
    <t>a fish! (look.. Tell me more) and she gave it to the monkey</t>
  </si>
  <si>
    <t>a fish, and she gave it to the monkey</t>
  </si>
  <si>
    <t>a dog (mhmm) and she gave it to- he gave it- she gave it to the man</t>
  </si>
  <si>
    <t>a dog, and she gave it to the man</t>
  </si>
  <si>
    <t>(The king threw a rabbit to the queen) They're not allowed to throw rabbits (Don't throw rabbits, no. Your turn. What's happening here?) You only give it to people to have a little pat. (That is exactly right. You know it. Here we go, your turn. The boy showed..) um dog (mhmm) and he gave it to the girl (He showed it TO the girl, that's right)</t>
  </si>
  <si>
    <t>dog, and he gave it to the girl</t>
  </si>
  <si>
    <t>um baby (mmhmm) ow! (You're not telling me the whole thing though [name]. Let's try again. It's your last one! Ready? Try again. The king gave..) um, baby. (mmhmm) and the princess- he gave it to the princess</t>
  </si>
  <si>
    <t>baby, and he gave it to the princess</t>
  </si>
  <si>
    <t>CLCL_104</t>
  </si>
  <si>
    <t>(The boy passed..) (you tell me) (what did he do? You tell me. Do you know what he did?) yeah (What's this?) a fish (Who's this? A girl?) Yeah (Yeah so let's watch again, ready? You tell me what happened. The boy passed..) a girl! (A what? … a fish. You say the whole thing, yeah? Can you say it? Passed the girl a fish) boy... pass the girl.. (Yeah what did he pass her?) a fish (Yes! Good job.)</t>
  </si>
  <si>
    <t>a girl</t>
  </si>
  <si>
    <t>a doggy! (Good job! Tell me more. … A doggy.. To..?) a queen!</t>
  </si>
  <si>
    <t>a doggy (to?) a queen</t>
  </si>
  <si>
    <t>a fish on Boots</t>
  </si>
  <si>
    <t>(The pig showed a baby to the tiger.) [Oh I don't want to stop] (Oh ok. What's this one? The boy showed..) a doggy! (Yeah, tell me more) girl (to the girl, well done.)</t>
  </si>
  <si>
    <t>a doggy (prompt) girl</t>
  </si>
  <si>
    <t>a cat! (Yep. tell me more. .. He threw the cat..) lady (that's right, yeah, to a lady. Good job)</t>
  </si>
  <si>
    <t>(The girl- ah, Dora gave a rabbit to Doo- to Boots. Your turn. The pig sent..) tiger! (Yeah what-) (Mum: what is it?) (What did he send to the tiger?) cuddle (Pardon?) (Mum: cuddle) cuddle (A cuddle! Haha. That's true, that's exactly what happened.)</t>
  </si>
  <si>
    <t>tiger</t>
  </si>
  <si>
    <t>baby! (Yeah, tell me more. Look again [name]) (Mum: who is she?)  a queen (that's right, well done)</t>
  </si>
  <si>
    <t>baby</t>
  </si>
  <si>
    <t>doggy! (mhmm?) a lady</t>
  </si>
  <si>
    <t>on the fixy man! (Yeah she did. What did she pass to the fixy man?) doggy!</t>
  </si>
  <si>
    <t>on the fixy man</t>
  </si>
  <si>
    <t>a fish! (yep?) Boots (That's right, well done.)</t>
  </si>
  <si>
    <t>a fish (yep?) Boots</t>
  </si>
  <si>
    <t>her dog again (Pardon?) she can't [x] [stop] again (Yeah, tell me more) oh, a doggy. (Yep?) Dora brought [xxxx] (Yep but who to? remember? You say- watch again and you tell me the whole thing, ready? Dora sent..) Boots a doggy!</t>
  </si>
  <si>
    <t>her dog again</t>
  </si>
  <si>
    <t>produced DOD after disallowable prompt..</t>
  </si>
  <si>
    <t>(The lady gave..) (it's your last one, what is it?) (Mum: [name] sit down properly. Quick last one!) (I'll show you again. The lady gave..) fixing person (yes, what?) fish! (Yes well done!)</t>
  </si>
  <si>
    <t>fixing person (yes what?) fish!</t>
  </si>
  <si>
    <t>CLCL_105</t>
  </si>
  <si>
    <t>(The boy passed a fish to the girl. Good looking mate. What's happening here? You tell me. The pig passed..) cat to (yep) the tiger</t>
  </si>
  <si>
    <t>cat to the tiger</t>
  </si>
  <si>
    <t>a teddy to the farmer</t>
  </si>
  <si>
    <t>(The pig showed..) … (Do you know what this is? What's that? Have you got one of these at home, in the pram next to Dad? Is that a baby? It's a bit hard to tell sometimes actually. Do you want me to show you again? You tell me what's happening. Ready? The pig showed..) ... (Tell me the whole thing. what's this? Is that a baby? And that's a t- it's not?! You tell me. Is it a doll? Maybe it's a doll. No? What is it? Well let's call it a baby. Ok? You tell me what's happening. Remember you want to hold onto your truck, don't you? Yep! Let's do some talking. Here we go! Look! The pig showed.. You tell me the whole thing. ... Do we need to give the truck back to Dad? I've got some more transport up here, remember... [etc etc with no response and then trial skipped])</t>
  </si>
  <si>
    <t>(The prince threw a cat to the princess. *gasp* Lucky she caught it! Ok your turn. *gasp* where's she going? The lady brought…) … rabbit to the farmer</t>
  </si>
  <si>
    <t>rabbit to the farmer</t>
  </si>
  <si>
    <t>(The girl gave..) … (You tell me what's happening mate. Oh I know… Maybe I need to show you- ) the rabbit (yep?) to the monkey</t>
  </si>
  <si>
    <t xml:space="preserve">(The prince gave..) … teddy… (teddy, yep. Tell me more) … (Do you know who she is? She's a princess. Or you can call her a girl. Ok? Ready [name]? Say the whole thing for me again. Ready, watch. The prince gave..) … (Do we need to put these away? Or are you going to do talking? Yeah? Look. The prince gave..) ... (I think we do need to give them to Dad...) [etc etc- 20sec more of discussion about attending to task]  (Ready look! The prince gave..) ... [xx] (Mm? Yep? The teddy? Tell me more. Watch again. He gave..) teddy to the... (is it a girl or a princess?) princess! </t>
  </si>
  <si>
    <t>teddy</t>
  </si>
  <si>
    <t>rabbit to the princess</t>
  </si>
  <si>
    <t>fish to the boy</t>
  </si>
  <si>
    <t>rabbit to … (yep, who's she? You can call her whatever you want) a princess!</t>
  </si>
  <si>
    <t>rabbit to (prompt) a princess</t>
  </si>
  <si>
    <t>CLCL_106</t>
  </si>
  <si>
    <t>a bunny to the Bob the Builder</t>
  </si>
  <si>
    <t>(The pig showed..) … (Do you know what this is?) a baby (yeah, you tell me the whole thing ready? The pig showed..) a baby (Yep, tell me more..) Well, the tiger was scared (He was, was he? He doesn't want to touch the baby. So maybe- Can you tell me the whole thing though? The pig showed..) the baby (mhmm) and he was scared (And the tiger was scared haha Fair enough.)</t>
  </si>
  <si>
    <t>the baby and he was scared</t>
  </si>
  <si>
    <t>and the tiger didn't want to touch it (He didn't, did he? But what happened though? What did the pig do? Ready? The pig showed..) the cat... the tiger (Yeah that's right. Did he show the cat the tiger or the tiger the cat do you think?) Yeah the cat (Yeah. Ready let's do it again. Watch this. You tell me. The pig showed..) a cat to the tiger</t>
  </si>
  <si>
    <t>the cat the tiger</t>
  </si>
  <si>
    <t>a cat to the boy</t>
  </si>
  <si>
    <t>the baby (mhmm) … (who to? You tell me. You tell me the whole thing ready? We'll start again. The king gave..) a baby to the girl</t>
  </si>
  <si>
    <t>(The girl sent the monkey a puppy) It's a stuffed toy dog (It is probably a stuffed toy dog. Look at this- What's this- happening here, you tell me. The prince sent..) one cat to the girl</t>
  </si>
  <si>
    <t>one cat to the girl</t>
  </si>
  <si>
    <t>(The prince brought- or the boy brought..) a bunny to the girl</t>
  </si>
  <si>
    <t>um I think that's a stuffed toy bunny (It might be, yep. Tell me the whole thing, ready? The king threw..) a bunny to the prince</t>
  </si>
  <si>
    <t>a dog to the prince</t>
  </si>
  <si>
    <t>CLCL_107</t>
  </si>
  <si>
    <t>a kit to the princess</t>
  </si>
  <si>
    <t>(The pig sent..) what are they for? (They're for making things um er go louder and softer, so we can turn the volume up. But it's up as loud as it can go I think. Ok you ready?) I want to turn the volume up. (Well we- there is no volume. And we can't press these buttons right now because otherwise you might make the um game go away.) (Mum: Hands off [name]) (Yeah good job. Watch ready? I'll show you my one again. Here we go. The girl gave a rabbit to the monkey. Now it's your turn. The pig sent..) a baby to the tiger</t>
  </si>
  <si>
    <t>CLCL_108</t>
  </si>
  <si>
    <t>him a bunny (yeah he did. Who's him? … That's a monkey isn't it? She gave the monkey a bunny)</t>
  </si>
  <si>
    <t>a bunny, again, to Bob the Builder</t>
  </si>
  <si>
    <t>a kitty (Yeah what did he show the kitty?) Um I don't know (Yeah let's see- let's say the whole thing. The pig showed..) him a (what's that?) baby</t>
  </si>
  <si>
    <t>him a baby</t>
  </si>
  <si>
    <t>him a dog</t>
  </si>
  <si>
    <t>him a kitten</t>
  </si>
  <si>
    <t>a kitten (yep?) Mummy the Builder really um um [Mickey lovely mouse] (He does I know. But what about this one? Can you tell me [name]? The pig passed..) a cat! (yes tell me more) kitten the mouse (Is he a mouse?) No. The tiger's from Mickey the Mouse (Oh right, tiger from Mickley Mouse. Got it. My turn.)</t>
  </si>
  <si>
    <t>a bunny (mhmm) Peter Rabbit! (Is it Peter Rabbit? Might be. But who's this?) The princess (That's right, so you've got to say the whole thing, ready? You tell me again. The boy brought..) a bunny again (Yes. Tell me the whole thing) a princess (to the princess)</t>
  </si>
  <si>
    <t>a fish (yes?) to the girl</t>
  </si>
  <si>
    <t>him a puppy</t>
  </si>
  <si>
    <t>CLCL_111</t>
  </si>
  <si>
    <t>(The lady threw a puppy to the man. *gasp* We don't throw puppies do we?) No, only pretend puppies. (Only pretend ones, yes. That's true.) Onl- (Toys, maybe.) Yeah (And s- only if mum says it's ok.) Yeah ([to mum] I don't want to get into trouble from you later! haha Ok my turn. No your turn sorry. The girl threw..) a fish to the monkey</t>
  </si>
  <si>
    <t>a dog to the pr- to- (You can call her whatever you want) to the girl</t>
  </si>
  <si>
    <t>CLCL_112</t>
  </si>
  <si>
    <t>a girl give the monkey a rabbit</t>
  </si>
  <si>
    <t>incorrect inflection on verb</t>
  </si>
  <si>
    <t xml:space="preserve">a rabbit (mhmm. Tell me the whole thing.) to the man (Yeah she did give it to the man. Lucky I understand your food speak! </t>
  </si>
  <si>
    <t>a rabbit (prompt) to the man</t>
  </si>
  <si>
    <t>baby (mhmm. Tell me the whole thing. Yep?) Yep (Yep, the pig showed..) the baby (Yes …) (Who to?) (You tell me the whole thing, ready? The pig showed..) the baby (Yes?) (Tell me more.) (Who did he show the baby to?) to the tiger (That's right! So hyou've gotta say 'the baby to the tiger')</t>
  </si>
  <si>
    <t>a doggy toy (Yep, tell me more) Because he's a man! (Yes he is a man. Did she throw it TO the man?) Yeah (Yeah so can you say that for me? Ready? Here we go, watch. The lady threw..) the the the toy. (Yes..?) (To the man. You say the whole thing.)</t>
  </si>
  <si>
    <t>a doggy toy</t>
  </si>
  <si>
    <t>a cat (yep?) … (Tell me more) … [cos he has spots] (He has what? He has [spots] (He has a bus?) No,- (Mum: spots) (Oh spots! Haha it does look like spots doesn't it? But they're actually sposed to be stripes. He does, yeah. And he's a tiger, or a cat, as well. This is a little cat. Can you tell me the whole- See the pig, do you see how he's showing the cat TO the tiger? Do you want to have a go of that one again? Let's have a look.) (Mum: how bout we have one more, and.. mummy might take [sib] just oput there cos he's getting a bit restless and he wants to crawl.) (Yeah. Do you want to get- let Mum go and give [sib] a crawl around? That might be a good idea for [sib]) Yeah (Yeah) (Mum: Ok. We're just going to be outside and you keep playing your games with Amanda.) (Yeah!) (Mum: Ok?) (That'll be great!) (Mum: cos [sib]- cos you know what's gonna happen. [sib]'s gonna crawl to the table and he's gonna interrupt your game, isn't he?) (He might, yeah. But this is [name]'s game. It's all for you! So we're gonna get [sib] to play out there.) (Mum: Mummy's gonna let [name] have a crawl out here so he can't ruin your game.) (Good. Good idea Mum) (Mum: You keep- keep playing with Amanda?) (Yeah let's finish this game.) (Mum: And then when you're finished your game we'll have more crackers, ok?) (Ok, so you finish that one, and then-) (Mum: Right- just right out here sweetheart.) (Yeah Mum's just right out there. We can talk to her in a bit if we like. Now.. let's have a look at this again. So, tell me the whole thing, you ready? The pig showed..) ... (I didn't hear you! You wanna see Manda's one again? I'll show you my one again. Check my one out, ready? The king brought a puppy to the queen.) Uh oh! (Oh that's alright. You can just leave it there. Now it's your turn, ready? The pig showed..) the cat (to the tiger!) to the tiger (Yeah good job. Let's move on.)</t>
  </si>
  <si>
    <t>cat (Yes? Tell me the whole thing. You're missing one. Who's this?) the cat (Yeah there's two cats, a little one and a big one. So the pig showed the cat TO the big cat, didn't he? Or you can call him a tiger. The cat to the tiger? Is that too weird? Alright..)</t>
  </si>
  <si>
    <t>a baby (mhmm.. Tell me more) he has a crown (Yeah she does have a crown. So what is she? If she has a crown, who's she?) a princess! (A princess! So tell me what happened, ready? The king gave..) a baby (Yes?) (To..?) to to the queen</t>
  </si>
  <si>
    <t>a cat to the prince- to to the princess Cinderella</t>
  </si>
  <si>
    <t>a cat to the princess Cinderella</t>
  </si>
  <si>
    <t>a rabbit! (yeah..) to Cinderella</t>
  </si>
  <si>
    <t>a rabbit (yeah..) to Cinderella</t>
  </si>
  <si>
    <t>a fish (…) a fish (…) (you tell me) (Is that the fish?) yeah (…) fish live in- they live in water (mhmm) fish live in water (They do, fish do live in water. But what did he do with that? He sent the fish..) to to to the girl</t>
  </si>
  <si>
    <t>a rabbit (yep?) um well we shouldn't throw- (we shouldn't throw rabbits should we?) no (But who did he throw it to? Ready, you haven't told me everything. The prince- the king, sorry, threw..) a rabbit (Yes…. Tell me more) and the king… (the king threw...) no.. (Yeah? He's got a crown) yeah (So's she. Is that a queen or a princess? Or a girl? Whatever you want to call her) a princess (a princess, ok. You tell me then, look. The king threw..) a rabbit!! (yes) that that too loud (It was very loud, yes) heehee (Tell me everything. The rabbit...?) was for the princess (heh for the princess, that's right.)</t>
  </si>
  <si>
    <t>a puppy (…) yeah.. (Tell me more) Hello Cinderella!! (to Cinderella, that's right.)</t>
  </si>
  <si>
    <t>CLCL_113</t>
  </si>
  <si>
    <t>(The pig showed a cat to the tiger. Or we can say Piglet showed a cat to Tigger if you like. I don't mind. Your turn. Oooh! The king brought..) a teddy bear (mhmm. Tell me more. … Do you know who this is?) a king (You can call her a king or a queen or a lady or a girl. Yep? Here we go, try again. The king brought..) the teddy bear (mhmm. ... Tell me the whole thing. You say 'to... the queen') to the the queen</t>
  </si>
  <si>
    <t>(The lady threw the man a puppy, or a teddy. Your turn. The girl threw..) [baby snow?] to the monkey</t>
  </si>
  <si>
    <t>[baby snow?] to the monkey</t>
  </si>
  <si>
    <t>unintelligible noun</t>
  </si>
  <si>
    <t>the teddy bear to a girl</t>
  </si>
  <si>
    <t>the baby (mhmm… tell me the whole thing) to the Tiglet</t>
  </si>
  <si>
    <t>the baby (prompt) to the Tiglet</t>
  </si>
  <si>
    <t>(The king threw a rabbit to the queen. *gasp* She caught it, phew. Your turn. The boy showed..) the aero- teddy bear to the girl</t>
  </si>
  <si>
    <t>the teddy bear to the girl</t>
  </si>
  <si>
    <t>the teddy bear to the boy</t>
  </si>
  <si>
    <t>the fishy to the mon key</t>
  </si>
  <si>
    <t>the teddy bear to the monkey</t>
  </si>
  <si>
    <t>the fishy to the boy</t>
  </si>
  <si>
    <t>CLCL_114</t>
  </si>
  <si>
    <t>a doll to the tiger</t>
  </si>
  <si>
    <t>a rabbit (mhmm? Tell me more) a lady (That's right. He showed it TO the lady, didn't he? So let's show that one again, ready? The boy showed..) a rabbit to the lady</t>
  </si>
  <si>
    <t>a rabbit (prompt) a lady</t>
  </si>
  <si>
    <t>(The lady threw the man a puppy.) No we don't throw puppies! (We don't! No! That's right we don't at all. Ready? The lady threw the man a puppy. Your turn. The girl threw..) a fish! (Yep tell me more.) … (I'll show you again ready? The lady- the girl threw..) fish (yes?) the monk- (yep?) the monkey [threw? thought?] a fish (she- yes, the monkey caught the fish, well done) caught a fish (so the lad- the girl threw the fish TO the monkey, didn't she?)</t>
  </si>
  <si>
    <t>a doggy (yep? Tell me the whole thing, remember? He showed.. He gave it TO someone didn't he? Ready let's watch again. The king brought..) a doggy (mhmm) to the.. (Pardon? … You tell me the whole thing. I'll show you my one again, ready? The pig showed the cat to the tiger. Your turn. The king brought..) a dog (yep?) ... (To the queen, didn't he? Yeah you gotta say the whole thing. You can call her a- do you wanna call her a girl? or a lady?) a girl (Yeah you can, ready, let's try it again. Oops. Here we go. The king brought..) a doggy (yep?) (the whole thing) [x thing?] (yeah.. to the girl, yeah. That's right we've gotta say the whole thing. So he didn't just bring a dog, he brought it to the girl, didn't he?)</t>
  </si>
  <si>
    <t>fish to the lady</t>
  </si>
  <si>
    <t>a fishy (mhm) to the monkey</t>
  </si>
  <si>
    <t>passed a doggy (mhm) (remember the whole thing) remember the whole thing (ha you don't have to copy that part, mate. Remember? There's someone else that you have to talk about. Ready, let's try again.) A man (That's right. Can you tell me that whole thing again, ready? The lady passed..) a doggy to the man</t>
  </si>
  <si>
    <t>CLCL_115</t>
  </si>
  <si>
    <t>a cat (mmhmm. Who to? You tell me the whole thing) I can't (Oh you can't?) Because I don't have a very good voice. (You do indeed! You have a great voice!) No let me show- (Do you know who this is?) No (Who that is? That's a tiger isn't it?) Yeah (Yeah. So.. let's try again. Watch, ready? The pig passed..) the cat to the tiger (Oh! Perfect! See?) I can just do it in a small voice (You can do it in a small voice if you like, I don't mind.)</t>
  </si>
  <si>
    <t>the kitty …. (Yep? Tell me the whole thing) I can't tell you the [xx] (Oh no do you want to see it again? Do you want me to press play again?) Um, no. (Oh ok. Haha. Well, who is this? Remember it's a tiger. So you tell me. The pig showed..) … (You want to skip this one? You wanna try another one? We can try a different one.)</t>
  </si>
  <si>
    <t>the kitty</t>
  </si>
  <si>
    <t>(The girl threw a fish to the monkey. Do we throw fish [name]? *gasp* That's a terrible idea. Lucky he caught it.) (Mum: could get a bit messy, I think) (Oh it would be, if he dropped it- they're very slippery aren't they? Uh oh! Have you got one of those too? Look, ready? The lady threw..) ... lucky he just catched that (Yeah! Lucky! What is this? And who's that? Can you tell me the whole thing? The lady threw..) the puppy (yeh? tell me more) the lady threw the puppy (yeah! And who's this?) I don't know (It's the man isn't it? She threw the puppy TO the man, and he caught it. Phew! That was a bit of a worry wasn't it?)</t>
  </si>
  <si>
    <t>(The pig showed..) .. (Do you know what this is [name]? That's a baby! Or some kids think it's a doll. You can call it that if you like too.) I think it might be a doll- (Yeah? Yeah it might be a baby doll! Can you tell me what's happening? The pig showed.. yeah? ... Is that a doll, to the tiger? Is that what happened? Can you say it for me? Yep? Here we go. The pig showed.. Nope we've lost her. Let's move on to the next one.)</t>
  </si>
  <si>
    <t>(Uh oh, what's gonna happen here do you think? Do you think he's gonna pass it or throw it?) maybe throw it (Let's see. The prince THREW the princess a cat. Oh! She caught it.) (Mum: Oh thank goodness) (Oh phew! What's your one? The lady brought.. where's she going? oh!) a bunny (Yeah it is a bunny. Who did she give it to? She gave it to the man didn't she? Yeah, good job, well done.)</t>
  </si>
  <si>
    <t>(The girl gave..) … (What did she give?) He's not holding it (He's not? I know, it kinda looks like he's not holding it. Can you tell me the whole thing? Remember it's a bunny and a monkey, and I want you to tell me what's happening, ready? The girl gave..) (mmhmm?) (Nup? We're not looking at that one? Will we try the next one? Let's have a look.)</t>
  </si>
  <si>
    <t xml:space="preserve">(The king gave the queen a baby) What?! (Yeah) I don't know why (Oh me neither! I wonder what happened in the next one. You tell me, ready? The prince gave..) he's not throwing it (He's not! What is it?) It's a dog (Yeah? And who's this?) The.. Uh.. (Can be just a girl, or a princess. Doesn't matter. You can use whatever you want) I think that it might be a princess (That's right he gave her- he gave her- uh, the puppy to the princess, didn't he? Good looking.) </t>
  </si>
  <si>
    <t>(The king threw..) he got it (Oh thank goodness. Can you tell me about what these are though? You need to finish it. Ready? The king threw..) … (What is this [name]? Look. Look at the screen. What's this? Can you see? Have a look for me. Oh we're gonna count stars instead.)</t>
  </si>
  <si>
    <t>(Your turn. Where is he going? The prince brought..) (What is this?) *sneeze* (Bless you. We're going back to stars now. Ok, moving on.)</t>
  </si>
  <si>
    <t>(The girl sent the monkey a puppy) We've already seen that one (Yeah we have, haven't we? Let's go to the next one then. Look at this. This is your turn. The prince sent..) … (What's that?) I don't know (Is that a cat? Is it a cat, or is it a dog?) uhhh... (what is it?)  a cat. (What's happening?) It's a cat (Yep. The prince sent..) a cat (Yeah he did. Tell me more) uhh to the princess</t>
  </si>
  <si>
    <t>I don't know (Don't you? Guess what? You get a sticker after this one. So you tell me what you think.) The king passed a baby to the queen.</t>
  </si>
  <si>
    <t>The king passed a baby to the queen.</t>
  </si>
  <si>
    <t>CLCL_117</t>
  </si>
  <si>
    <t>the girl gave a rabbit to the monkey</t>
  </si>
  <si>
    <t>the lady brought a rabbit for the man</t>
  </si>
  <si>
    <t>the pig showed a baby to the tiger</t>
  </si>
  <si>
    <t>a teddy bear at the man</t>
  </si>
  <si>
    <t>(The pig showed..) … (You tell me. What happened?) The pig showed the tiger the cat</t>
  </si>
  <si>
    <t>The pig showed the tiger the cat</t>
  </si>
  <si>
    <t>the pig passed a cat to the tiger</t>
  </si>
  <si>
    <t>the king gave a baby to the other king</t>
  </si>
  <si>
    <t>the princess sent a cow to the other princess</t>
  </si>
  <si>
    <t>noun errors</t>
  </si>
  <si>
    <t>the prince brought a rabbit to the other prince</t>
  </si>
  <si>
    <t>the boy sent a fish to the girl</t>
  </si>
  <si>
    <t>the king threw a rabbit to the prince</t>
  </si>
  <si>
    <t>(The prince threw..) The prince threw- (I mean gave) -a teddy bear to the girl</t>
  </si>
  <si>
    <t>the prince threw a teddy bear to the girl</t>
  </si>
  <si>
    <t>CLCL_120</t>
  </si>
  <si>
    <t>the cat (yep? Tell me the whole thing.) the pig is showing the tiger who [uninteliigible]</t>
  </si>
  <si>
    <t>the pig is showing the tiger who [unintelligible]</t>
  </si>
  <si>
    <t>dog (yep?) threw at the man</t>
  </si>
  <si>
    <t>showed the baby to tiger</t>
  </si>
  <si>
    <t>man a bunny rabbit</t>
  </si>
  <si>
    <t>gave the monkey a rabbit</t>
  </si>
  <si>
    <t>(The prince gave..) um the the the queen gived her an elephant</t>
  </si>
  <si>
    <t>the queen gived her an elephant</t>
  </si>
  <si>
    <t>noun errors; inflection error</t>
  </si>
  <si>
    <t>(The girl brought a fish to the monkey) I'm a princess (Oh you are, I agree. Did you see that? Watch this one again. Where's she going?) She's- (The girl brought a fish to the monkey) she's- (Here's your turn. The prince brought..) (Mum: [x]) rabbit (yep) (Mum: Say the whole thing) rabbit (You say the whole thing, yeah) He gived the princess a rabbit</t>
  </si>
  <si>
    <t>he gived the princess a rabbit</t>
  </si>
  <si>
    <t>um a cat (mm?) lady</t>
  </si>
  <si>
    <t>a cat (mm?) lady</t>
  </si>
  <si>
    <t>CLCL_121</t>
  </si>
  <si>
    <t>a puppy (Yeah.. Tell me more) to the queen</t>
  </si>
  <si>
    <t>a cat to the um (you can call her whatever you want) prince</t>
  </si>
  <si>
    <t>(The king threw a rabbit to the queen) we don't throw rabbits (We don't, no. Your turn. What's happening here? The boy showed..) the dog to the girl</t>
  </si>
  <si>
    <t>the dog to the monkey</t>
  </si>
  <si>
    <t>CLCL_125</t>
  </si>
  <si>
    <t>a monkey a bunny rabbit</t>
  </si>
  <si>
    <t>(The prince threw the cat to the princess. Oh! Do we throw cats? Is that a good idea? No that's a terrible idea. Luckily she caught it. Phew! Ok, here's your go. The girl- sorry, The lady brought..) a bunny rabbit to [him]</t>
  </si>
  <si>
    <t>a bunny rabbit to [him]</t>
  </si>
  <si>
    <t>(The boy showed the girl a rabbit. What's on your one?) Baby- (The pig showed..) him a baby (yeah he did show him a baby. Who's this?) tiger (That's right. He showed the tiger the baby. Good job.)</t>
  </si>
  <si>
    <t>(The lady threw..) (You tell me) a dog- girl threw a doggy to the man</t>
  </si>
  <si>
    <t>girl threw a doggy to the man</t>
  </si>
  <si>
    <t>(The pig showed..) (You tell me) [unintelligible whisper] (Who's this?) tiger (Good ok can you tell with a big voice again. The pig showed..) um [unintelligible whisper] [big heavy cat?] (Yep) tiger showed… (Did the tiger show? Or did the pig?) um the tiger (Yeah he showed the tiger, well done.)</t>
  </si>
  <si>
    <t>tiger showed…</t>
  </si>
  <si>
    <t>a kitty cat to the tiger</t>
  </si>
  <si>
    <t>(The prince sent..) … (You tell me) [x a kitty?] (Yep, tell me more. .. Who did he send it to?)  queen</t>
  </si>
  <si>
    <t xml:space="preserve">[kitty?] </t>
  </si>
  <si>
    <t>very noisy baby sibling in background</t>
  </si>
  <si>
    <t>(The king gave a baby to the queen. Your last turn!) (Mum: last one!) (The prince gave..) a bunny- a puppy to the queen</t>
  </si>
  <si>
    <t>CLCL_127</t>
  </si>
  <si>
    <t>a teddy to the um … uh the .. (you can call her whatever you want) [girl] (to the girl? Haha take your fingers out of your mouth, I can't hear you. That's right, yeah, she's a princess or a girl or a lady, whatever you want.)</t>
  </si>
  <si>
    <t>a teddy to the girl</t>
  </si>
  <si>
    <t>a [x] to the girl</t>
  </si>
  <si>
    <t>(The boy threw..) a dog to- (showed sorry!) um girl</t>
  </si>
  <si>
    <t>a dog to girl</t>
  </si>
  <si>
    <t>baby to the princess</t>
  </si>
  <si>
    <t>CLCL_128</t>
  </si>
  <si>
    <t>a cat to the pig- I mean to the tiger!</t>
  </si>
  <si>
    <t>(The prince threw a cat to the princess) You can't throw a cat! (No, you can't. Lucky it's just pretend. And she caught it too! Phew! Alright your turn. The lady brought..) uh, nothing. A rabbit! (Yep. Tell me more) Well when is it gonna go? (Tell me the whole thing, ready? The lady brought..) a rabbit again?! (Yes, but who's this?) a man (Yeah remember she brought it TO the man. Yeah, say the whole thing.)</t>
  </si>
  <si>
    <t>(The prince gave..) … if you pr- touch those buttons, it will make it go louder. (It will, that's right, they're the volume buttons. Ah, good job picking up on that. Can you tell me what's happening here? The prince gave..) a doggy to the prince</t>
  </si>
  <si>
    <t>a doggy to the prince</t>
  </si>
  <si>
    <t>(The king threw..) No you can't throw a bunny rabbit! (Yep tell me more.) Uhhh…. They throw that… (We'll show it- Have a look again? Watch ready [name]? You tell me the whole thing. Remember who's catching it and everything. Ready? Watch.) (Mum: You have to watch the screen. What's happening?) (The king threw..) No no no no no! (I know. You tell me what's happening.) Uh, they were throwing a bunny rabbit (Yep... yep. .. Who's that?) king (Yeah so you sho- we'll start again ready? The king threw..) No no no no no no- (Yep you tell me the whole thing.) ah they were throwing the bunny rabbit again. (Yes.) Queen (TO.. the) Queen (queen yeah good.)</t>
  </si>
  <si>
    <t>they were throwing a bunny rabbit</t>
  </si>
  <si>
    <t>a fish (yep.) the choo choo train is (Yeah it's like on a choo choo train. But remember, there's a girl as well. You've gotta tell me the whole thing. Here we go. The boy sent..) they go- they've got two things! (That's right. Here we go. *next trial*)</t>
  </si>
  <si>
    <t>(The prince-) there's two princesses (The prince brought..) There's two princesses. (Yeah that's right but tell me what's happening.) Uh the uh- (Have a look again, ready? The prince brought..) Uh let me see. A bunny rabbit? (Yep?) [x] (Tell me the whole thing.) Hey why [they haven't] turned around (Oh I'll tell you in a sec but we've got to finish this one first. We're almost done! Look! We've only got a few more to go. Ready?) (Mum: Focus bubba) (Yeah I know it's hard) *sigh* (It's hard to focus. You tell me the whole thing. The prince brought..) uhhhh let me see. A bunny rabbit?! (Yes.) ... (Who- who to?) uh, the bunny rabbit?! (To the princess?) to the princess (Ok let's start again, ready? The prince brought..) Only one more to go (Have a look! Yeah, a few more.) This many (Ok, let's try this one.)</t>
  </si>
  <si>
    <t>a bunny rabbit</t>
  </si>
  <si>
    <t>a cat. That's a real cat.  (Yep, tell me the whole thing) Um, they're rolling a cat on the trayer. (mhmm, but remember there's a person-) I like their [x] (I know they are. Hey [name] look at my one, ready? Watch mine. The girl sent a puppy TO the monkey. Your turn, ready, look. The prince sent..) a cat (Yeh?) ... (TO the princess.)</t>
  </si>
  <si>
    <t xml:space="preserve">a baby (Yes?) I like the- (That's nice. You didn't tell me the whole thing, we can't finish. Do you want to finish this game? Watch ready? The king passed..) a baby (tell me more) baby baby baby baby baby baby (tell me more tell me more)  uh [xx] queen (Yep to the queen, good job.) to the queen </t>
  </si>
  <si>
    <t>CLCL_129</t>
  </si>
  <si>
    <t>(the pig sent..) … (you tell me) the lion the piggy gave her … (yep) um a baby</t>
  </si>
  <si>
    <t>the lion, the piggy gave her (yep) a baby</t>
  </si>
  <si>
    <t>gave him a cat (yep, tell me more) prince gave her a cat (he did didn't he? Did he throw it though? He did. Let's see what- I'll show you mine a- Oh wait hang on, this way. Wrong way! Let's try again, ready? The prince threw..) a cat (yep) to the prince girl (Perfect!)</t>
  </si>
  <si>
    <t>prince gave her a cat</t>
  </si>
  <si>
    <t>a rabbit jump (Pardon?) a rabbit jump (Yeah he did he showed him the rab- showed the rabbit, but who to? You tell me the whole thing. The boy showed..) a rabbit to the (Yeah you can call her whatever you want) to the lady</t>
  </si>
  <si>
    <t>a rabbit jump</t>
  </si>
  <si>
    <t>a fish to a monkey</t>
  </si>
  <si>
    <t>a princess a puppy dog</t>
  </si>
  <si>
    <t>(The pig passed a cat to the tiger) Blue! (Yeah I know it is blue. [name] you missed my one, ready? Let's play again, ready watch this.) [purple?] (I know there's lots of colours. We can look at the stars in a minute. Can you tell- watch this one for me though? Watch. *gasp* Oh look! The pig passed a cat to the tiger. Your turn. The boy passed..) a lady to a fish (A lady to a fish?! Or did he pass the fish to the lady? Which one? You tell me again. The boy passed..) a lady a fish</t>
  </si>
  <si>
    <t>a lady to a fish</t>
  </si>
  <si>
    <t>man a fish</t>
  </si>
  <si>
    <t>a puppy dog to the monkey</t>
  </si>
  <si>
    <t>(The girl brought.. [name] look. Tell me. The girl brought..) a fish for a monkey</t>
  </si>
  <si>
    <t>a fish for a monkey</t>
  </si>
  <si>
    <t>a puppy dog (mhmm) to a man</t>
  </si>
  <si>
    <t>(The king threw a rabbit to the queen. *gasp* Oh he caught it, phew. Your turn. The boy showed..) a puppy [x] (mm?) to the queen- to the princess</t>
  </si>
  <si>
    <t>a puppy [x] (mm?) to the princess</t>
  </si>
  <si>
    <t>a baby to a princess</t>
  </si>
  <si>
    <t>CLCL_130</t>
  </si>
  <si>
    <t>(the boy passed..) the girl grab (Yeah she did grab. What though? Tell me the whole thing) fish (Yeah good job!)</t>
  </si>
  <si>
    <t>the girl grab (prompt) fish</t>
  </si>
  <si>
    <t>a puppy! (Yep, tell me more) um the [x] uh the king! (yeah he gave it to the queen, that's right. You tell me all of it. So the pig brought the puppy to the queen didn't he?)</t>
  </si>
  <si>
    <t>a puppy (prompt) the king</t>
  </si>
  <si>
    <t>a fish to the monkey [x]</t>
  </si>
  <si>
    <t>the boy showed a dog to the girl</t>
  </si>
  <si>
    <t>(The lady brought the man a rabbit. Your turn) The rabbits don't.. [x] (No I know, ready? Your turn. The prince threw..) a cat.. Over to the princess</t>
  </si>
  <si>
    <t>a cat over to the princess</t>
  </si>
  <si>
    <t>(The prince gave the princess a puppy) a puppy that's what they gave him- (Yeah now what's on yours? Here we go. The king gave..) a baby to the princess</t>
  </si>
  <si>
    <t>(The boy showed..) (you tell me) the boy showed a doggy to the [x]</t>
  </si>
  <si>
    <t>the boy showed a doggy to the [x]</t>
  </si>
  <si>
    <t>(The lady passed..) (You tell me what happened) a puppy to the man</t>
  </si>
  <si>
    <t>(The prince sent the princess a cat) she [xxx] (she did yeah. Your turn. The girl sent.. What did the girl send?) a puppy to the monkey</t>
  </si>
  <si>
    <t>Prep.error.bin</t>
  </si>
  <si>
    <t>Gave.POD</t>
  </si>
  <si>
    <t>ParticipantName</t>
  </si>
  <si>
    <t xml:space="preserve">Drop </t>
  </si>
  <si>
    <t>Verb.error_systematic</t>
  </si>
  <si>
    <t>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</si>
</sst>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13]mmmmm/yy;@"/>
  </numFmts>
  <fonts count="12" x14ac:knownFonts="1">
    <font>
      <sz val="11"/>
      <color theme="1"/>
      <name val="Calibri"/>
      <family val="2"/>
      <scheme val="minor"/>
    </font>
    <font>
      <b/>
      <sz val="11"/>
      <color theme="1"/>
      <name val="Calibri"/>
      <family val="2"/>
      <scheme val="minor"/>
    </font>
    <font>
      <sz val="10"/>
      <name val="Verdana"/>
      <family val="2"/>
    </font>
    <font>
      <sz val="11"/>
      <name val="Calibri"/>
      <family val="2"/>
      <scheme val="minor"/>
    </font>
    <font>
      <i/>
      <sz val="11"/>
      <color theme="1"/>
      <name val="Calibri"/>
      <family val="2"/>
      <scheme val="minor"/>
    </font>
    <font>
      <b/>
      <sz val="8"/>
      <color indexed="81"/>
      <name val="Tahoma"/>
      <family val="2"/>
    </font>
    <font>
      <sz val="8"/>
      <color indexed="81"/>
      <name val="Tahoma"/>
      <family val="2"/>
    </font>
    <font>
      <b/>
      <sz val="9"/>
      <color rgb="FF000000"/>
      <name val="Tahoma"/>
      <family val="2"/>
    </font>
    <font>
      <sz val="9"/>
      <color rgb="FF000000"/>
      <name val="Tahoma"/>
      <family val="2"/>
    </font>
    <font>
      <b/>
      <sz val="10"/>
      <color rgb="FF000000"/>
      <name val="Tahoma"/>
      <family val="2"/>
    </font>
    <font>
      <sz val="10"/>
      <color rgb="FF000000"/>
      <name val="Tahoma"/>
      <family val="2"/>
    </font>
    <font>
      <sz val="10"/>
      <color rgb="FF00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xf numFmtId="0" fontId="1" fillId="0" borderId="0" xfId="0" applyFont="1" applyFill="1"/>
    <xf numFmtId="0" fontId="0" fillId="0" borderId="0" xfId="0" applyFont="1"/>
    <xf numFmtId="14" fontId="0" fillId="0" borderId="0" xfId="0" applyNumberFormat="1" applyFont="1"/>
    <xf numFmtId="14" fontId="0" fillId="0" borderId="0" xfId="0" applyNumberFormat="1"/>
    <xf numFmtId="0" fontId="0" fillId="0" borderId="0" xfId="0" applyAlignment="1">
      <alignment horizontal="right"/>
    </xf>
    <xf numFmtId="0" fontId="0" fillId="0" borderId="0" xfId="0" applyBorder="1"/>
    <xf numFmtId="0" fontId="2" fillId="0" borderId="0" xfId="0" applyFont="1" applyBorder="1" applyAlignment="1">
      <alignment horizontal="right"/>
    </xf>
    <xf numFmtId="0" fontId="0" fillId="0" borderId="0" xfId="0" applyFill="1" applyBorder="1"/>
    <xf numFmtId="0" fontId="0" fillId="0" borderId="0" xfId="0" applyFont="1" applyFill="1"/>
    <xf numFmtId="14" fontId="0" fillId="0" borderId="0" xfId="0" applyNumberFormat="1" applyFont="1" applyFill="1"/>
    <xf numFmtId="14" fontId="0" fillId="0" borderId="0" xfId="0" applyNumberFormat="1" applyFill="1"/>
    <xf numFmtId="0" fontId="0" fillId="0" borderId="0" xfId="0" applyFill="1" applyAlignment="1">
      <alignment horizontal="right"/>
    </xf>
    <xf numFmtId="0" fontId="0" fillId="0" borderId="0" xfId="0" applyFill="1"/>
    <xf numFmtId="0" fontId="2" fillId="0" borderId="0" xfId="0" applyFont="1" applyFill="1" applyBorder="1" applyAlignment="1">
      <alignment horizontal="right"/>
    </xf>
    <xf numFmtId="0" fontId="0" fillId="2" borderId="0" xfId="0" applyFill="1"/>
    <xf numFmtId="0" fontId="3" fillId="0" borderId="0" xfId="0" applyFont="1"/>
    <xf numFmtId="0" fontId="0" fillId="0" borderId="0" xfId="0" applyBorder="1" applyAlignment="1">
      <alignment horizontal="right"/>
    </xf>
    <xf numFmtId="0" fontId="2" fillId="0" borderId="0" xfId="0" applyFont="1" applyBorder="1"/>
    <xf numFmtId="0" fontId="2" fillId="0" borderId="0" xfId="0" applyFont="1" applyFill="1" applyBorder="1"/>
    <xf numFmtId="0" fontId="0" fillId="2" borderId="0" xfId="0" applyFill="1" applyAlignment="1">
      <alignment horizontal="right"/>
    </xf>
    <xf numFmtId="0" fontId="0" fillId="0" borderId="0" xfId="0" applyFill="1" applyBorder="1" applyAlignment="1">
      <alignment horizontal="right"/>
    </xf>
    <xf numFmtId="0" fontId="0" fillId="0" borderId="0" xfId="0" quotePrefix="1" applyFill="1"/>
    <xf numFmtId="164" fontId="1" fillId="0" borderId="0" xfId="0" applyNumberFormat="1" applyFont="1" applyAlignment="1">
      <alignment horizontal="right"/>
    </xf>
    <xf numFmtId="164" fontId="0" fillId="0" borderId="0" xfId="0" applyNumberFormat="1" applyAlignment="1">
      <alignment horizontal="right"/>
    </xf>
    <xf numFmtId="164" fontId="0" fillId="0" borderId="0" xfId="0" applyNumberFormat="1" applyFill="1" applyAlignment="1">
      <alignment horizontal="right"/>
    </xf>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E5E59-8C24-49CC-B021-27807D7302F2}">
  <dimension ref="A1:AJ1105"/>
  <sheetViews>
    <sheetView tabSelected="1" zoomScale="125" zoomScaleNormal="125" workbookViewId="0">
      <pane xSplit="1" ySplit="1" topLeftCell="B2" activePane="bottomRight" state="frozen"/>
      <selection pane="topRight" activeCell="B1" sqref="B1"/>
      <selection pane="bottomLeft" activeCell="A2" sqref="A2"/>
      <selection pane="bottomRight" activeCell="H2" sqref="H2"/>
    </sheetView>
  </sheetViews>
  <sheetFormatPr defaultColWidth="8.85546875" defaultRowHeight="15" x14ac:dyDescent="0.25"/>
  <cols>
    <col min="1" max="1" width="15.42578125" style="3" customWidth="1"/>
    <col min="2" max="2" width="5.7109375" style="3" customWidth="1"/>
    <col min="3" max="3" width="7.42578125" style="3" customWidth="1"/>
    <col min="4" max="4" width="13.7109375" style="3" customWidth="1"/>
    <col min="5" max="5" width="14.28515625" customWidth="1"/>
    <col min="6" max="6" width="11.42578125" style="27" customWidth="1"/>
    <col min="7" max="7" width="13.7109375" customWidth="1"/>
    <col min="10" max="10" width="18.42578125" customWidth="1"/>
    <col min="12" max="12" width="14.85546875" customWidth="1"/>
    <col min="14" max="14" width="9.7109375" customWidth="1"/>
    <col min="15" max="15" width="15.85546875" customWidth="1"/>
    <col min="16" max="16" width="12.140625" customWidth="1"/>
    <col min="17" max="17" width="16" customWidth="1"/>
    <col min="19" max="19" width="20.7109375" customWidth="1"/>
    <col min="20" max="20" width="13.42578125" customWidth="1"/>
    <col min="22" max="22" width="12" customWidth="1"/>
    <col min="23" max="23" width="16" customWidth="1"/>
    <col min="24" max="24" width="21.42578125" customWidth="1"/>
    <col min="25" max="25" width="20.42578125" customWidth="1"/>
    <col min="26" max="26" width="12.85546875" customWidth="1"/>
    <col min="27" max="27" width="13.42578125" customWidth="1"/>
    <col min="28" max="28" width="10.140625" customWidth="1"/>
    <col min="29" max="29" width="8.5703125" customWidth="1"/>
    <col min="30" max="30" width="14.85546875" customWidth="1"/>
    <col min="31" max="31" width="22.140625" customWidth="1"/>
    <col min="32" max="32" width="194.85546875" customWidth="1"/>
    <col min="33" max="33" width="31.140625" customWidth="1"/>
    <col min="34" max="34" width="29.140625" customWidth="1"/>
    <col min="35" max="35" width="31.85546875" customWidth="1"/>
    <col min="36" max="36" width="16.42578125" customWidth="1"/>
  </cols>
  <sheetData>
    <row r="1" spans="1:35" s="1" customFormat="1" ht="38.25" customHeight="1" x14ac:dyDescent="0.25">
      <c r="A1" s="1" t="s">
        <v>1311</v>
      </c>
      <c r="B1" s="1" t="s">
        <v>1312</v>
      </c>
      <c r="C1" s="1" t="s">
        <v>0</v>
      </c>
      <c r="D1" s="1" t="s">
        <v>1</v>
      </c>
      <c r="E1" s="1" t="s">
        <v>2</v>
      </c>
      <c r="F1" s="24" t="s">
        <v>3</v>
      </c>
      <c r="G1" s="1" t="s">
        <v>4</v>
      </c>
      <c r="H1" s="1" t="s">
        <v>1314</v>
      </c>
      <c r="I1" s="1" t="s">
        <v>5</v>
      </c>
      <c r="J1" s="1" t="s">
        <v>6</v>
      </c>
      <c r="K1" s="1" t="s">
        <v>7</v>
      </c>
      <c r="L1" s="1" t="s">
        <v>8</v>
      </c>
      <c r="M1" s="1" t="s">
        <v>9</v>
      </c>
      <c r="N1" s="1" t="s">
        <v>10</v>
      </c>
      <c r="O1" s="1" t="s">
        <v>1313</v>
      </c>
      <c r="P1" s="1" t="s">
        <v>11</v>
      </c>
      <c r="Q1" s="2" t="s">
        <v>12</v>
      </c>
      <c r="R1" s="2" t="s">
        <v>13</v>
      </c>
      <c r="S1" s="2" t="s">
        <v>14</v>
      </c>
      <c r="T1" s="2" t="s">
        <v>15</v>
      </c>
      <c r="U1" s="2" t="s">
        <v>16</v>
      </c>
      <c r="V1" s="2" t="s">
        <v>17</v>
      </c>
      <c r="W1" s="2" t="s">
        <v>1309</v>
      </c>
      <c r="X1" s="2" t="s">
        <v>18</v>
      </c>
      <c r="Y1" s="2" t="s">
        <v>19</v>
      </c>
      <c r="Z1" s="2" t="s">
        <v>20</v>
      </c>
      <c r="AA1" s="2" t="s">
        <v>21</v>
      </c>
      <c r="AB1" s="2" t="s">
        <v>22</v>
      </c>
      <c r="AC1" s="2" t="s">
        <v>1310</v>
      </c>
      <c r="AD1" s="1" t="s">
        <v>23</v>
      </c>
      <c r="AE1" s="2" t="s">
        <v>24</v>
      </c>
      <c r="AF1" s="1" t="s">
        <v>25</v>
      </c>
      <c r="AG1" s="1" t="s">
        <v>26</v>
      </c>
      <c r="AH1" s="1" t="s">
        <v>27</v>
      </c>
      <c r="AI1" s="1" t="s">
        <v>28</v>
      </c>
    </row>
    <row r="2" spans="1:35" x14ac:dyDescent="0.25">
      <c r="A2" s="3" t="s">
        <v>29</v>
      </c>
      <c r="C2" s="3">
        <v>1</v>
      </c>
      <c r="D2" s="4">
        <v>41853</v>
      </c>
      <c r="E2" s="5">
        <v>43146</v>
      </c>
      <c r="F2" s="25" t="str">
        <f t="shared" ref="F2:F53" si="0">DATEDIF(D2,E2,"M")&amp;" : "&amp;DATEDIF(D2,E2,"MD")</f>
        <v>42 : 13</v>
      </c>
      <c r="G2">
        <f t="shared" ref="G2:G53" si="1">DATEDIF(D2,E2,"D")</f>
        <v>1293</v>
      </c>
      <c r="H2" s="7">
        <v>1</v>
      </c>
      <c r="I2" s="7">
        <v>1</v>
      </c>
      <c r="J2" s="7" t="s">
        <v>30</v>
      </c>
      <c r="K2" s="7" t="s">
        <v>30</v>
      </c>
      <c r="L2" s="8">
        <v>-0.5</v>
      </c>
      <c r="M2">
        <v>0.5</v>
      </c>
      <c r="AD2">
        <v>0</v>
      </c>
      <c r="AE2">
        <v>1</v>
      </c>
      <c r="AG2" t="s">
        <v>31</v>
      </c>
    </row>
    <row r="3" spans="1:35" x14ac:dyDescent="0.25">
      <c r="A3" s="3" t="s">
        <v>29</v>
      </c>
      <c r="C3" s="3">
        <v>1</v>
      </c>
      <c r="D3" s="4">
        <v>41853</v>
      </c>
      <c r="E3" s="5">
        <v>43146</v>
      </c>
      <c r="F3" s="25" t="str">
        <f t="shared" si="0"/>
        <v>42 : 13</v>
      </c>
      <c r="G3">
        <f t="shared" si="1"/>
        <v>1293</v>
      </c>
      <c r="H3" s="7">
        <v>1</v>
      </c>
      <c r="I3" s="7">
        <v>2</v>
      </c>
      <c r="J3" s="7" t="s">
        <v>32</v>
      </c>
      <c r="K3" s="7" t="s">
        <v>33</v>
      </c>
      <c r="L3" s="8">
        <v>-0.5</v>
      </c>
      <c r="M3">
        <v>-0.5</v>
      </c>
      <c r="AD3">
        <v>0</v>
      </c>
      <c r="AE3">
        <v>1</v>
      </c>
      <c r="AG3" t="s">
        <v>34</v>
      </c>
    </row>
    <row r="4" spans="1:35" x14ac:dyDescent="0.25">
      <c r="A4" s="3" t="s">
        <v>29</v>
      </c>
      <c r="C4" s="3">
        <v>1</v>
      </c>
      <c r="D4" s="4">
        <v>41853</v>
      </c>
      <c r="E4" s="5">
        <v>43146</v>
      </c>
      <c r="F4" s="25" t="str">
        <f t="shared" si="0"/>
        <v>42 : 13</v>
      </c>
      <c r="G4">
        <f t="shared" si="1"/>
        <v>1293</v>
      </c>
      <c r="H4" s="7">
        <v>1</v>
      </c>
      <c r="I4" s="7">
        <v>3</v>
      </c>
      <c r="J4" s="7" t="s">
        <v>35</v>
      </c>
      <c r="K4" s="9" t="s">
        <v>35</v>
      </c>
      <c r="L4" s="8">
        <v>0.5</v>
      </c>
      <c r="M4">
        <v>0.5</v>
      </c>
      <c r="AD4">
        <v>0</v>
      </c>
      <c r="AE4">
        <v>0</v>
      </c>
      <c r="AG4" t="s">
        <v>36</v>
      </c>
    </row>
    <row r="5" spans="1:35" x14ac:dyDescent="0.25">
      <c r="A5" s="3" t="s">
        <v>29</v>
      </c>
      <c r="C5" s="3">
        <v>1</v>
      </c>
      <c r="D5" s="4">
        <v>41853</v>
      </c>
      <c r="E5" s="5">
        <v>43146</v>
      </c>
      <c r="F5" s="25" t="str">
        <f t="shared" si="0"/>
        <v>42 : 13</v>
      </c>
      <c r="G5">
        <f t="shared" si="1"/>
        <v>1293</v>
      </c>
      <c r="H5" s="7">
        <v>1</v>
      </c>
      <c r="I5" s="7">
        <v>4</v>
      </c>
      <c r="J5" s="7" t="s">
        <v>32</v>
      </c>
      <c r="K5" s="9" t="s">
        <v>32</v>
      </c>
      <c r="L5" s="8">
        <v>0.5</v>
      </c>
      <c r="M5">
        <v>0.5</v>
      </c>
      <c r="AD5">
        <v>0</v>
      </c>
      <c r="AE5">
        <v>0</v>
      </c>
      <c r="AG5" t="s">
        <v>37</v>
      </c>
    </row>
    <row r="6" spans="1:35" x14ac:dyDescent="0.25">
      <c r="A6" s="3" t="s">
        <v>29</v>
      </c>
      <c r="C6" s="3">
        <v>1</v>
      </c>
      <c r="D6" s="4">
        <v>41853</v>
      </c>
      <c r="E6" s="5">
        <v>43146</v>
      </c>
      <c r="F6" s="25" t="str">
        <f t="shared" si="0"/>
        <v>42 : 13</v>
      </c>
      <c r="G6">
        <f t="shared" si="1"/>
        <v>1293</v>
      </c>
      <c r="H6" s="7">
        <v>1</v>
      </c>
      <c r="I6" s="7">
        <v>5</v>
      </c>
      <c r="J6" s="7" t="s">
        <v>33</v>
      </c>
      <c r="K6" s="9" t="s">
        <v>35</v>
      </c>
      <c r="L6" s="8">
        <v>-0.5</v>
      </c>
      <c r="M6">
        <v>-0.5</v>
      </c>
      <c r="AD6">
        <v>0</v>
      </c>
      <c r="AE6">
        <v>1</v>
      </c>
      <c r="AG6" t="s">
        <v>38</v>
      </c>
    </row>
    <row r="7" spans="1:35" x14ac:dyDescent="0.25">
      <c r="A7" s="3" t="s">
        <v>29</v>
      </c>
      <c r="C7" s="3">
        <v>1</v>
      </c>
      <c r="D7" s="4">
        <v>41853</v>
      </c>
      <c r="E7" s="5">
        <v>43146</v>
      </c>
      <c r="F7" s="25" t="str">
        <f t="shared" si="0"/>
        <v>42 : 13</v>
      </c>
      <c r="G7">
        <f t="shared" si="1"/>
        <v>1293</v>
      </c>
      <c r="H7" s="7">
        <v>1</v>
      </c>
      <c r="I7" s="7">
        <v>6</v>
      </c>
      <c r="J7" s="7" t="s">
        <v>39</v>
      </c>
      <c r="K7" s="9" t="s">
        <v>40</v>
      </c>
      <c r="L7" s="8">
        <v>0.5</v>
      </c>
      <c r="M7">
        <v>-0.5</v>
      </c>
      <c r="AD7">
        <v>0</v>
      </c>
      <c r="AE7">
        <v>0</v>
      </c>
      <c r="AG7" t="s">
        <v>41</v>
      </c>
    </row>
    <row r="8" spans="1:35" x14ac:dyDescent="0.25">
      <c r="A8" s="3" t="s">
        <v>29</v>
      </c>
      <c r="C8" s="3">
        <v>1</v>
      </c>
      <c r="D8" s="4">
        <v>41853</v>
      </c>
      <c r="E8" s="5">
        <v>43146</v>
      </c>
      <c r="F8" s="25" t="str">
        <f t="shared" si="0"/>
        <v>42 : 13</v>
      </c>
      <c r="G8">
        <f t="shared" si="1"/>
        <v>1293</v>
      </c>
      <c r="H8" s="7">
        <v>1</v>
      </c>
      <c r="I8" s="7">
        <v>7</v>
      </c>
      <c r="J8" s="7" t="s">
        <v>39</v>
      </c>
      <c r="K8" s="9" t="s">
        <v>39</v>
      </c>
      <c r="L8" s="8">
        <v>-0.5</v>
      </c>
      <c r="M8">
        <v>0.5</v>
      </c>
      <c r="X8" s="6"/>
      <c r="Y8" s="6"/>
      <c r="Z8" s="6"/>
      <c r="AD8">
        <v>0</v>
      </c>
      <c r="AE8">
        <v>1</v>
      </c>
      <c r="AG8" t="s">
        <v>42</v>
      </c>
    </row>
    <row r="9" spans="1:35" x14ac:dyDescent="0.25">
      <c r="A9" s="3" t="s">
        <v>29</v>
      </c>
      <c r="C9" s="3">
        <v>1</v>
      </c>
      <c r="D9" s="4">
        <v>41853</v>
      </c>
      <c r="E9" s="5">
        <v>43146</v>
      </c>
      <c r="F9" s="25" t="str">
        <f t="shared" si="0"/>
        <v>42 : 13</v>
      </c>
      <c r="G9">
        <f t="shared" si="1"/>
        <v>1293</v>
      </c>
      <c r="H9" s="7">
        <v>1</v>
      </c>
      <c r="I9" s="7">
        <v>8</v>
      </c>
      <c r="J9" s="7" t="s">
        <v>35</v>
      </c>
      <c r="K9" s="9" t="s">
        <v>32</v>
      </c>
      <c r="L9" s="8">
        <v>-0.5</v>
      </c>
      <c r="M9">
        <v>-0.5</v>
      </c>
      <c r="AD9">
        <v>0</v>
      </c>
      <c r="AE9">
        <v>1</v>
      </c>
      <c r="AG9" t="s">
        <v>43</v>
      </c>
    </row>
    <row r="10" spans="1:35" x14ac:dyDescent="0.25">
      <c r="A10" s="3" t="s">
        <v>29</v>
      </c>
      <c r="C10" s="3">
        <v>1</v>
      </c>
      <c r="D10" s="4">
        <v>41853</v>
      </c>
      <c r="E10" s="5">
        <v>43146</v>
      </c>
      <c r="F10" s="25" t="str">
        <f t="shared" si="0"/>
        <v>42 : 13</v>
      </c>
      <c r="G10">
        <f t="shared" si="1"/>
        <v>1293</v>
      </c>
      <c r="H10" s="7">
        <v>1</v>
      </c>
      <c r="I10" s="7">
        <v>9</v>
      </c>
      <c r="J10" s="7" t="s">
        <v>40</v>
      </c>
      <c r="K10" s="9" t="s">
        <v>30</v>
      </c>
      <c r="L10" s="8">
        <v>0.5</v>
      </c>
      <c r="M10">
        <v>-0.5</v>
      </c>
      <c r="AD10">
        <v>0</v>
      </c>
      <c r="AE10">
        <v>0</v>
      </c>
      <c r="AG10" t="s">
        <v>44</v>
      </c>
    </row>
    <row r="11" spans="1:35" x14ac:dyDescent="0.25">
      <c r="A11" s="3" t="s">
        <v>29</v>
      </c>
      <c r="C11" s="3">
        <v>1</v>
      </c>
      <c r="D11" s="4">
        <v>41853</v>
      </c>
      <c r="E11" s="5">
        <v>43146</v>
      </c>
      <c r="F11" s="25" t="str">
        <f t="shared" si="0"/>
        <v>42 : 13</v>
      </c>
      <c r="G11">
        <f t="shared" si="1"/>
        <v>1293</v>
      </c>
      <c r="H11" s="7">
        <v>1</v>
      </c>
      <c r="I11" s="7">
        <v>10</v>
      </c>
      <c r="J11" s="7" t="s">
        <v>33</v>
      </c>
      <c r="K11" s="9" t="s">
        <v>33</v>
      </c>
      <c r="L11" s="8">
        <v>0.5</v>
      </c>
      <c r="M11">
        <v>0.5</v>
      </c>
      <c r="AD11">
        <v>0</v>
      </c>
      <c r="AE11">
        <v>0</v>
      </c>
      <c r="AG11" t="s">
        <v>45</v>
      </c>
    </row>
    <row r="12" spans="1:35" x14ac:dyDescent="0.25">
      <c r="A12" s="3" t="s">
        <v>29</v>
      </c>
      <c r="C12" s="3">
        <v>1</v>
      </c>
      <c r="D12" s="4">
        <v>41853</v>
      </c>
      <c r="E12" s="5">
        <v>43146</v>
      </c>
      <c r="F12" s="25" t="str">
        <f t="shared" si="0"/>
        <v>42 : 13</v>
      </c>
      <c r="G12">
        <f t="shared" si="1"/>
        <v>1293</v>
      </c>
      <c r="H12" s="7">
        <v>1</v>
      </c>
      <c r="I12" s="7">
        <v>11</v>
      </c>
      <c r="J12" s="7" t="s">
        <v>40</v>
      </c>
      <c r="K12" s="9" t="s">
        <v>40</v>
      </c>
      <c r="L12" s="8">
        <v>-0.5</v>
      </c>
      <c r="M12">
        <v>0.5</v>
      </c>
      <c r="AD12">
        <v>0</v>
      </c>
      <c r="AE12">
        <v>1</v>
      </c>
      <c r="AG12" t="s">
        <v>46</v>
      </c>
    </row>
    <row r="13" spans="1:35" x14ac:dyDescent="0.25">
      <c r="A13" s="3" t="s">
        <v>29</v>
      </c>
      <c r="C13" s="3">
        <v>1</v>
      </c>
      <c r="D13" s="4">
        <v>41853</v>
      </c>
      <c r="E13" s="5">
        <v>43146</v>
      </c>
      <c r="F13" s="25" t="str">
        <f t="shared" si="0"/>
        <v>42 : 13</v>
      </c>
      <c r="G13">
        <f t="shared" si="1"/>
        <v>1293</v>
      </c>
      <c r="H13" s="7">
        <v>1</v>
      </c>
      <c r="I13" s="7">
        <v>12</v>
      </c>
      <c r="J13" s="7" t="s">
        <v>30</v>
      </c>
      <c r="K13" s="9" t="s">
        <v>39</v>
      </c>
      <c r="L13" s="8">
        <v>0.5</v>
      </c>
      <c r="M13">
        <v>-0.5</v>
      </c>
      <c r="AD13">
        <v>0</v>
      </c>
      <c r="AE13">
        <v>0</v>
      </c>
      <c r="AG13" t="s">
        <v>47</v>
      </c>
    </row>
    <row r="14" spans="1:35" x14ac:dyDescent="0.25">
      <c r="A14" s="3" t="s">
        <v>54</v>
      </c>
      <c r="C14" s="3">
        <v>0</v>
      </c>
      <c r="D14" s="4">
        <v>41853</v>
      </c>
      <c r="E14" s="5">
        <v>43153</v>
      </c>
      <c r="F14" s="25" t="str">
        <f t="shared" si="0"/>
        <v>42 : 20</v>
      </c>
      <c r="G14">
        <f t="shared" si="1"/>
        <v>1300</v>
      </c>
      <c r="H14" s="7">
        <v>1</v>
      </c>
      <c r="I14" s="7">
        <v>1</v>
      </c>
      <c r="J14" s="7" t="s">
        <v>30</v>
      </c>
      <c r="K14" s="7" t="s">
        <v>30</v>
      </c>
      <c r="L14" s="15">
        <v>0.5</v>
      </c>
      <c r="M14">
        <v>0.5</v>
      </c>
      <c r="AD14">
        <v>0</v>
      </c>
      <c r="AE14">
        <v>0</v>
      </c>
      <c r="AF14" s="14"/>
      <c r="AG14" s="14" t="s">
        <v>53</v>
      </c>
      <c r="AH14" s="16" t="s">
        <v>55</v>
      </c>
    </row>
    <row r="15" spans="1:35" x14ac:dyDescent="0.25">
      <c r="A15" s="3" t="s">
        <v>54</v>
      </c>
      <c r="C15" s="3">
        <v>0</v>
      </c>
      <c r="D15" s="4">
        <v>41853</v>
      </c>
      <c r="E15" s="5">
        <v>43153</v>
      </c>
      <c r="F15" s="25" t="str">
        <f t="shared" si="0"/>
        <v>42 : 20</v>
      </c>
      <c r="G15">
        <f t="shared" si="1"/>
        <v>1300</v>
      </c>
      <c r="H15" s="7">
        <v>1</v>
      </c>
      <c r="I15" s="7">
        <v>2</v>
      </c>
      <c r="J15" s="7" t="s">
        <v>32</v>
      </c>
      <c r="K15" s="7" t="s">
        <v>33</v>
      </c>
      <c r="L15" s="15">
        <v>-0.5</v>
      </c>
      <c r="M15">
        <v>-0.5</v>
      </c>
      <c r="AD15">
        <v>0</v>
      </c>
      <c r="AE15">
        <v>1</v>
      </c>
      <c r="AF15" s="14" t="s">
        <v>56</v>
      </c>
      <c r="AG15" s="14" t="s">
        <v>57</v>
      </c>
    </row>
    <row r="16" spans="1:35" x14ac:dyDescent="0.25">
      <c r="A16" s="3" t="s">
        <v>54</v>
      </c>
      <c r="C16" s="3">
        <v>0</v>
      </c>
      <c r="D16" s="4">
        <v>41853</v>
      </c>
      <c r="E16" s="5">
        <v>43153</v>
      </c>
      <c r="F16" s="25" t="str">
        <f t="shared" si="0"/>
        <v>42 : 20</v>
      </c>
      <c r="G16">
        <f t="shared" si="1"/>
        <v>1300</v>
      </c>
      <c r="H16" s="7">
        <v>1</v>
      </c>
      <c r="I16" s="7">
        <v>3</v>
      </c>
      <c r="J16" s="7" t="s">
        <v>35</v>
      </c>
      <c r="K16" s="9" t="s">
        <v>35</v>
      </c>
      <c r="L16" s="15">
        <v>-0.5</v>
      </c>
      <c r="M16">
        <v>0.5</v>
      </c>
      <c r="AD16">
        <v>0</v>
      </c>
      <c r="AE16">
        <v>1</v>
      </c>
      <c r="AF16" t="s">
        <v>58</v>
      </c>
      <c r="AG16" t="s">
        <v>59</v>
      </c>
    </row>
    <row r="17" spans="1:35" x14ac:dyDescent="0.25">
      <c r="A17" s="3" t="s">
        <v>54</v>
      </c>
      <c r="C17" s="3">
        <v>0</v>
      </c>
      <c r="D17" s="4">
        <v>41853</v>
      </c>
      <c r="E17" s="5">
        <v>43153</v>
      </c>
      <c r="F17" s="25" t="str">
        <f t="shared" si="0"/>
        <v>42 : 20</v>
      </c>
      <c r="G17">
        <f t="shared" si="1"/>
        <v>1300</v>
      </c>
      <c r="H17" s="7">
        <v>1</v>
      </c>
      <c r="I17" s="7">
        <v>4</v>
      </c>
      <c r="J17" s="9" t="s">
        <v>32</v>
      </c>
      <c r="K17" s="9" t="s">
        <v>30</v>
      </c>
      <c r="L17" s="15">
        <v>0.5</v>
      </c>
      <c r="M17" s="9">
        <v>-0.5</v>
      </c>
      <c r="N17" s="9">
        <v>1</v>
      </c>
      <c r="O17" s="9"/>
      <c r="P17" s="9"/>
      <c r="AG17" t="s">
        <v>60</v>
      </c>
    </row>
    <row r="18" spans="1:35" x14ac:dyDescent="0.25">
      <c r="A18" s="3" t="s">
        <v>54</v>
      </c>
      <c r="C18" s="3">
        <v>0</v>
      </c>
      <c r="D18" s="4">
        <v>41853</v>
      </c>
      <c r="E18" s="5">
        <v>43153</v>
      </c>
      <c r="F18" s="25" t="str">
        <f t="shared" si="0"/>
        <v>42 : 20</v>
      </c>
      <c r="G18">
        <f t="shared" si="1"/>
        <v>1300</v>
      </c>
      <c r="H18" s="7">
        <v>1</v>
      </c>
      <c r="I18" s="7">
        <v>5</v>
      </c>
      <c r="J18" s="9" t="s">
        <v>33</v>
      </c>
      <c r="K18" s="9" t="s">
        <v>32</v>
      </c>
      <c r="L18" s="15">
        <v>-0.5</v>
      </c>
      <c r="M18" s="14">
        <v>-0.5</v>
      </c>
      <c r="N18" s="14">
        <v>1</v>
      </c>
      <c r="O18" s="14"/>
      <c r="P18" s="14"/>
      <c r="S18">
        <v>0</v>
      </c>
      <c r="AD18">
        <v>0</v>
      </c>
      <c r="AE18">
        <v>1</v>
      </c>
      <c r="AF18" t="s">
        <v>61</v>
      </c>
      <c r="AG18" t="s">
        <v>62</v>
      </c>
    </row>
    <row r="19" spans="1:35" x14ac:dyDescent="0.25">
      <c r="A19" s="3" t="s">
        <v>54</v>
      </c>
      <c r="C19" s="3">
        <v>0</v>
      </c>
      <c r="D19" s="4">
        <v>41853</v>
      </c>
      <c r="E19" s="5">
        <v>43153</v>
      </c>
      <c r="F19" s="25" t="str">
        <f t="shared" si="0"/>
        <v>42 : 20</v>
      </c>
      <c r="G19">
        <f t="shared" si="1"/>
        <v>1300</v>
      </c>
      <c r="H19" s="7">
        <v>1</v>
      </c>
      <c r="I19" s="7">
        <v>6</v>
      </c>
      <c r="J19" s="9" t="s">
        <v>39</v>
      </c>
      <c r="K19" s="9" t="s">
        <v>32</v>
      </c>
      <c r="L19" s="15">
        <v>0.5</v>
      </c>
      <c r="M19" s="14">
        <v>-0.5</v>
      </c>
      <c r="N19" s="14">
        <v>1</v>
      </c>
      <c r="O19" s="14"/>
      <c r="P19" s="14">
        <v>1</v>
      </c>
      <c r="S19">
        <v>0</v>
      </c>
      <c r="AD19" s="6"/>
      <c r="AE19" s="6"/>
      <c r="AF19" t="s">
        <v>63</v>
      </c>
      <c r="AG19" t="s">
        <v>64</v>
      </c>
      <c r="AH19" t="s">
        <v>65</v>
      </c>
    </row>
    <row r="20" spans="1:35" x14ac:dyDescent="0.25">
      <c r="A20" s="3" t="s">
        <v>54</v>
      </c>
      <c r="C20" s="3">
        <v>0</v>
      </c>
      <c r="D20" s="4">
        <v>41853</v>
      </c>
      <c r="E20" s="5">
        <v>43153</v>
      </c>
      <c r="F20" s="25" t="str">
        <f t="shared" si="0"/>
        <v>42 : 20</v>
      </c>
      <c r="G20">
        <f t="shared" si="1"/>
        <v>1300</v>
      </c>
      <c r="H20" s="7">
        <v>1</v>
      </c>
      <c r="I20" s="7">
        <v>7</v>
      </c>
      <c r="J20" s="9" t="s">
        <v>39</v>
      </c>
      <c r="K20" s="9" t="s">
        <v>39</v>
      </c>
      <c r="L20" s="15">
        <v>-0.5</v>
      </c>
      <c r="M20" s="14">
        <v>0.5</v>
      </c>
      <c r="N20" s="14"/>
      <c r="O20" s="14"/>
      <c r="P20" s="14"/>
      <c r="S20">
        <v>0</v>
      </c>
      <c r="Y20">
        <v>1</v>
      </c>
      <c r="AD20">
        <v>0</v>
      </c>
      <c r="AE20">
        <v>1</v>
      </c>
      <c r="AF20" t="s">
        <v>66</v>
      </c>
      <c r="AG20" t="s">
        <v>67</v>
      </c>
      <c r="AI20" s="14"/>
    </row>
    <row r="21" spans="1:35" x14ac:dyDescent="0.25">
      <c r="A21" s="3" t="s">
        <v>54</v>
      </c>
      <c r="C21" s="3">
        <v>0</v>
      </c>
      <c r="D21" s="4">
        <v>41853</v>
      </c>
      <c r="E21" s="5">
        <v>43153</v>
      </c>
      <c r="F21" s="25" t="str">
        <f t="shared" si="0"/>
        <v>42 : 20</v>
      </c>
      <c r="G21">
        <f t="shared" si="1"/>
        <v>1300</v>
      </c>
      <c r="H21" s="7">
        <v>1</v>
      </c>
      <c r="I21" s="7">
        <v>8</v>
      </c>
      <c r="J21" s="9" t="s">
        <v>35</v>
      </c>
      <c r="K21" s="9" t="s">
        <v>39</v>
      </c>
      <c r="L21" s="15">
        <v>-0.5</v>
      </c>
      <c r="M21" s="14">
        <v>-0.5</v>
      </c>
      <c r="N21" s="14">
        <v>1</v>
      </c>
      <c r="O21" s="14"/>
      <c r="P21" s="14"/>
      <c r="S21">
        <v>1</v>
      </c>
      <c r="AD21">
        <v>0</v>
      </c>
      <c r="AE21">
        <v>1</v>
      </c>
      <c r="AF21" t="s">
        <v>68</v>
      </c>
      <c r="AG21" t="s">
        <v>69</v>
      </c>
    </row>
    <row r="22" spans="1:35" x14ac:dyDescent="0.25">
      <c r="A22" s="3" t="s">
        <v>54</v>
      </c>
      <c r="C22" s="3">
        <v>0</v>
      </c>
      <c r="D22" s="4">
        <v>41853</v>
      </c>
      <c r="E22" s="5">
        <v>43153</v>
      </c>
      <c r="F22" s="25" t="str">
        <f t="shared" si="0"/>
        <v>42 : 20</v>
      </c>
      <c r="G22">
        <f t="shared" si="1"/>
        <v>1300</v>
      </c>
      <c r="H22" s="7">
        <v>1</v>
      </c>
      <c r="I22" s="7">
        <v>9</v>
      </c>
      <c r="J22" s="9" t="s">
        <v>30</v>
      </c>
      <c r="K22" s="9" t="s">
        <v>30</v>
      </c>
      <c r="L22" s="14">
        <v>-0.5</v>
      </c>
      <c r="M22" s="15">
        <v>0.5</v>
      </c>
      <c r="N22" s="15"/>
      <c r="O22" s="15"/>
      <c r="P22" s="15"/>
      <c r="Q22">
        <v>1</v>
      </c>
      <c r="R22" s="15">
        <v>1</v>
      </c>
      <c r="S22" s="15">
        <v>1</v>
      </c>
      <c r="T22" s="15"/>
      <c r="U22" s="15"/>
      <c r="Y22">
        <v>1</v>
      </c>
      <c r="AD22">
        <v>0</v>
      </c>
      <c r="AE22">
        <v>1</v>
      </c>
      <c r="AF22" t="s">
        <v>70</v>
      </c>
      <c r="AG22" t="s">
        <v>71</v>
      </c>
    </row>
    <row r="23" spans="1:35" x14ac:dyDescent="0.25">
      <c r="A23" s="3" t="s">
        <v>54</v>
      </c>
      <c r="C23" s="3">
        <v>0</v>
      </c>
      <c r="D23" s="4">
        <v>41853</v>
      </c>
      <c r="E23" s="5">
        <v>43153</v>
      </c>
      <c r="F23" s="25" t="str">
        <f t="shared" si="0"/>
        <v>42 : 20</v>
      </c>
      <c r="G23">
        <f t="shared" si="1"/>
        <v>1300</v>
      </c>
      <c r="H23" s="7">
        <v>1</v>
      </c>
      <c r="I23" s="7">
        <v>10</v>
      </c>
      <c r="J23" s="9" t="s">
        <v>33</v>
      </c>
      <c r="K23" s="9" t="s">
        <v>33</v>
      </c>
      <c r="L23" s="15">
        <v>0.5</v>
      </c>
      <c r="M23" s="14">
        <v>0.5</v>
      </c>
      <c r="N23" s="14"/>
      <c r="O23" s="14"/>
      <c r="P23" s="14"/>
      <c r="AD23">
        <v>0</v>
      </c>
      <c r="AE23">
        <v>0</v>
      </c>
      <c r="AG23" t="s">
        <v>45</v>
      </c>
    </row>
    <row r="24" spans="1:35" x14ac:dyDescent="0.25">
      <c r="A24" s="3" t="s">
        <v>54</v>
      </c>
      <c r="C24" s="3">
        <v>0</v>
      </c>
      <c r="D24" s="4">
        <v>41853</v>
      </c>
      <c r="E24" s="5">
        <v>43153</v>
      </c>
      <c r="F24" s="25" t="str">
        <f t="shared" si="0"/>
        <v>42 : 20</v>
      </c>
      <c r="G24">
        <f t="shared" si="1"/>
        <v>1300</v>
      </c>
      <c r="H24" s="7">
        <v>1</v>
      </c>
      <c r="I24" s="7">
        <v>11</v>
      </c>
      <c r="J24" s="9" t="s">
        <v>40</v>
      </c>
      <c r="K24" s="9" t="s">
        <v>30</v>
      </c>
      <c r="L24" s="15">
        <v>0.5</v>
      </c>
      <c r="M24" s="9">
        <v>-0.5</v>
      </c>
      <c r="N24" s="14">
        <v>1</v>
      </c>
      <c r="O24" s="14"/>
      <c r="P24" s="14"/>
      <c r="AG24" t="s">
        <v>72</v>
      </c>
    </row>
    <row r="25" spans="1:35" x14ac:dyDescent="0.25">
      <c r="A25" s="3" t="s">
        <v>54</v>
      </c>
      <c r="C25" s="3">
        <v>0</v>
      </c>
      <c r="D25" s="4">
        <v>41853</v>
      </c>
      <c r="E25" s="5">
        <v>43153</v>
      </c>
      <c r="F25" s="25" t="str">
        <f t="shared" si="0"/>
        <v>42 : 20</v>
      </c>
      <c r="G25">
        <f t="shared" si="1"/>
        <v>1300</v>
      </c>
      <c r="H25" s="7">
        <v>1</v>
      </c>
      <c r="I25" s="7">
        <v>12</v>
      </c>
      <c r="J25" s="9" t="s">
        <v>30</v>
      </c>
      <c r="K25" s="9" t="s">
        <v>33</v>
      </c>
      <c r="L25" s="15">
        <v>-0.5</v>
      </c>
      <c r="M25" s="14">
        <v>-0.5</v>
      </c>
      <c r="N25" s="14">
        <v>1</v>
      </c>
      <c r="O25" s="14"/>
      <c r="P25" s="14"/>
      <c r="Q25" s="14">
        <v>1</v>
      </c>
      <c r="AD25">
        <v>0</v>
      </c>
      <c r="AE25">
        <v>1</v>
      </c>
      <c r="AF25" t="s">
        <v>73</v>
      </c>
      <c r="AG25" t="s">
        <v>74</v>
      </c>
    </row>
    <row r="26" spans="1:35" s="14" customFormat="1" x14ac:dyDescent="0.25">
      <c r="A26" s="10" t="s">
        <v>75</v>
      </c>
      <c r="B26" s="10"/>
      <c r="C26" s="10">
        <v>1</v>
      </c>
      <c r="D26" s="11">
        <v>41846</v>
      </c>
      <c r="E26" s="12">
        <v>43145</v>
      </c>
      <c r="F26" s="26" t="str">
        <f t="shared" si="0"/>
        <v>42 : 19</v>
      </c>
      <c r="G26" s="14">
        <f t="shared" si="1"/>
        <v>1299</v>
      </c>
      <c r="H26" s="9">
        <v>1</v>
      </c>
      <c r="I26" s="9">
        <v>1</v>
      </c>
      <c r="J26" s="9" t="s">
        <v>30</v>
      </c>
      <c r="K26" s="9" t="s">
        <v>30</v>
      </c>
      <c r="L26" s="15">
        <v>-0.5</v>
      </c>
      <c r="M26" s="14">
        <v>0.5</v>
      </c>
      <c r="AD26" s="14">
        <v>0</v>
      </c>
      <c r="AE26" s="14">
        <v>1</v>
      </c>
      <c r="AF26" s="14" t="s">
        <v>76</v>
      </c>
      <c r="AG26" s="14" t="s">
        <v>31</v>
      </c>
    </row>
    <row r="27" spans="1:35" s="14" customFormat="1" x14ac:dyDescent="0.25">
      <c r="A27" s="10" t="s">
        <v>75</v>
      </c>
      <c r="B27" s="10"/>
      <c r="C27" s="10">
        <v>1</v>
      </c>
      <c r="D27" s="11">
        <v>41846</v>
      </c>
      <c r="E27" s="12">
        <v>43145</v>
      </c>
      <c r="F27" s="26" t="str">
        <f t="shared" si="0"/>
        <v>42 : 19</v>
      </c>
      <c r="G27" s="14">
        <f t="shared" si="1"/>
        <v>1299</v>
      </c>
      <c r="H27" s="9">
        <v>1</v>
      </c>
      <c r="I27" s="9">
        <v>2</v>
      </c>
      <c r="J27" s="9" t="s">
        <v>32</v>
      </c>
      <c r="K27" s="9" t="s">
        <v>33</v>
      </c>
      <c r="L27" s="15">
        <v>-0.5</v>
      </c>
      <c r="M27" s="14">
        <v>-0.5</v>
      </c>
      <c r="U27" s="14">
        <v>1</v>
      </c>
      <c r="Y27" s="14">
        <v>1</v>
      </c>
      <c r="AD27" s="14">
        <v>0</v>
      </c>
      <c r="AE27" s="14">
        <v>1</v>
      </c>
      <c r="AF27" s="14" t="s">
        <v>77</v>
      </c>
      <c r="AG27" s="14" t="s">
        <v>78</v>
      </c>
    </row>
    <row r="28" spans="1:35" s="14" customFormat="1" x14ac:dyDescent="0.25">
      <c r="A28" s="10" t="s">
        <v>75</v>
      </c>
      <c r="B28" s="10"/>
      <c r="C28" s="10">
        <v>1</v>
      </c>
      <c r="D28" s="11">
        <v>41846</v>
      </c>
      <c r="E28" s="12">
        <v>43145</v>
      </c>
      <c r="F28" s="26" t="str">
        <f t="shared" si="0"/>
        <v>42 : 19</v>
      </c>
      <c r="G28" s="14">
        <f t="shared" si="1"/>
        <v>1299</v>
      </c>
      <c r="H28" s="9">
        <v>1</v>
      </c>
      <c r="I28" s="9">
        <v>3</v>
      </c>
      <c r="J28" s="9" t="s">
        <v>35</v>
      </c>
      <c r="K28" s="9" t="s">
        <v>35</v>
      </c>
      <c r="L28" s="15">
        <v>0.5</v>
      </c>
      <c r="M28" s="14">
        <v>0.5</v>
      </c>
      <c r="AD28" s="14">
        <v>0</v>
      </c>
      <c r="AE28" s="14">
        <v>0</v>
      </c>
      <c r="AF28" s="14" t="s">
        <v>79</v>
      </c>
      <c r="AG28" s="14" t="s">
        <v>80</v>
      </c>
    </row>
    <row r="29" spans="1:35" s="14" customFormat="1" x14ac:dyDescent="0.25">
      <c r="A29" s="10" t="s">
        <v>75</v>
      </c>
      <c r="B29" s="10"/>
      <c r="C29" s="10">
        <v>1</v>
      </c>
      <c r="D29" s="11">
        <v>41846</v>
      </c>
      <c r="E29" s="12">
        <v>43145</v>
      </c>
      <c r="F29" s="26" t="str">
        <f t="shared" si="0"/>
        <v>42 : 19</v>
      </c>
      <c r="G29" s="14">
        <f t="shared" si="1"/>
        <v>1299</v>
      </c>
      <c r="H29" s="9">
        <v>1</v>
      </c>
      <c r="I29" s="9">
        <v>4</v>
      </c>
      <c r="J29" s="9" t="s">
        <v>32</v>
      </c>
      <c r="K29" s="9" t="s">
        <v>32</v>
      </c>
      <c r="L29" s="15">
        <v>0.5</v>
      </c>
      <c r="M29" s="14">
        <v>0.5</v>
      </c>
      <c r="S29" s="14">
        <v>0</v>
      </c>
      <c r="AD29" s="14">
        <v>1</v>
      </c>
      <c r="AE29" s="14">
        <v>1</v>
      </c>
      <c r="AF29" s="14" t="s">
        <v>81</v>
      </c>
      <c r="AG29" s="14" t="s">
        <v>82</v>
      </c>
    </row>
    <row r="30" spans="1:35" s="14" customFormat="1" x14ac:dyDescent="0.25">
      <c r="A30" s="10" t="s">
        <v>75</v>
      </c>
      <c r="B30" s="10"/>
      <c r="C30" s="10">
        <v>1</v>
      </c>
      <c r="D30" s="11">
        <v>41846</v>
      </c>
      <c r="E30" s="12">
        <v>43145</v>
      </c>
      <c r="F30" s="26" t="str">
        <f t="shared" si="0"/>
        <v>42 : 19</v>
      </c>
      <c r="G30" s="14">
        <f t="shared" si="1"/>
        <v>1299</v>
      </c>
      <c r="H30" s="9">
        <v>1</v>
      </c>
      <c r="I30" s="9">
        <v>5</v>
      </c>
      <c r="J30" s="9" t="s">
        <v>33</v>
      </c>
      <c r="K30" s="9" t="s">
        <v>35</v>
      </c>
      <c r="L30" s="15">
        <v>-0.5</v>
      </c>
      <c r="M30" s="14">
        <v>-0.5</v>
      </c>
      <c r="S30" s="14">
        <v>0</v>
      </c>
      <c r="AD30" s="14">
        <v>0</v>
      </c>
      <c r="AE30" s="14">
        <v>1</v>
      </c>
      <c r="AF30" s="14" t="s">
        <v>83</v>
      </c>
      <c r="AG30" s="14" t="s">
        <v>84</v>
      </c>
    </row>
    <row r="31" spans="1:35" s="14" customFormat="1" x14ac:dyDescent="0.25">
      <c r="A31" s="10" t="s">
        <v>75</v>
      </c>
      <c r="B31" s="10"/>
      <c r="C31" s="10">
        <v>1</v>
      </c>
      <c r="D31" s="11">
        <v>41846</v>
      </c>
      <c r="E31" s="12">
        <v>43145</v>
      </c>
      <c r="F31" s="26" t="str">
        <f t="shared" si="0"/>
        <v>42 : 19</v>
      </c>
      <c r="G31" s="14">
        <f t="shared" si="1"/>
        <v>1299</v>
      </c>
      <c r="H31" s="9">
        <v>1</v>
      </c>
      <c r="I31" s="9">
        <v>6</v>
      </c>
      <c r="J31" s="9" t="s">
        <v>39</v>
      </c>
      <c r="K31" s="9" t="s">
        <v>40</v>
      </c>
      <c r="L31" s="15">
        <v>0.5</v>
      </c>
      <c r="M31" s="14">
        <v>-0.5</v>
      </c>
      <c r="AD31" s="14">
        <v>0</v>
      </c>
      <c r="AE31" s="14">
        <v>1</v>
      </c>
      <c r="AF31" s="14" t="s">
        <v>85</v>
      </c>
      <c r="AG31" s="14" t="s">
        <v>86</v>
      </c>
      <c r="AH31" s="14" t="s">
        <v>87</v>
      </c>
    </row>
    <row r="32" spans="1:35" s="14" customFormat="1" x14ac:dyDescent="0.25">
      <c r="A32" s="10" t="s">
        <v>75</v>
      </c>
      <c r="B32" s="10"/>
      <c r="C32" s="10">
        <v>1</v>
      </c>
      <c r="D32" s="11">
        <v>41846</v>
      </c>
      <c r="E32" s="12">
        <v>43145</v>
      </c>
      <c r="F32" s="26" t="str">
        <f t="shared" si="0"/>
        <v>42 : 19</v>
      </c>
      <c r="G32" s="14">
        <f t="shared" si="1"/>
        <v>1299</v>
      </c>
      <c r="H32" s="9">
        <v>1</v>
      </c>
      <c r="I32" s="9">
        <v>7</v>
      </c>
      <c r="J32" s="9" t="s">
        <v>39</v>
      </c>
      <c r="K32" s="9" t="s">
        <v>39</v>
      </c>
      <c r="L32" s="15">
        <v>-0.5</v>
      </c>
      <c r="M32" s="14">
        <v>0.5</v>
      </c>
      <c r="AD32" s="14">
        <v>1</v>
      </c>
      <c r="AE32" s="14">
        <v>0</v>
      </c>
      <c r="AG32" s="14" t="s">
        <v>88</v>
      </c>
    </row>
    <row r="33" spans="1:33" s="14" customFormat="1" x14ac:dyDescent="0.25">
      <c r="A33" s="10" t="s">
        <v>75</v>
      </c>
      <c r="B33" s="10"/>
      <c r="C33" s="10">
        <v>1</v>
      </c>
      <c r="D33" s="11">
        <v>41846</v>
      </c>
      <c r="E33" s="12">
        <v>43145</v>
      </c>
      <c r="F33" s="26" t="str">
        <f t="shared" si="0"/>
        <v>42 : 19</v>
      </c>
      <c r="G33" s="14">
        <f t="shared" si="1"/>
        <v>1299</v>
      </c>
      <c r="H33" s="9">
        <v>1</v>
      </c>
      <c r="I33" s="9">
        <v>8</v>
      </c>
      <c r="J33" s="9" t="s">
        <v>35</v>
      </c>
      <c r="K33" s="9" t="s">
        <v>32</v>
      </c>
      <c r="L33" s="15">
        <v>-0.5</v>
      </c>
      <c r="M33" s="14">
        <v>-0.5</v>
      </c>
      <c r="AD33" s="14">
        <v>1</v>
      </c>
      <c r="AE33" s="14">
        <v>0</v>
      </c>
      <c r="AG33" s="14" t="s">
        <v>89</v>
      </c>
    </row>
    <row r="34" spans="1:33" s="14" customFormat="1" x14ac:dyDescent="0.25">
      <c r="A34" s="10" t="s">
        <v>75</v>
      </c>
      <c r="B34" s="10"/>
      <c r="C34" s="10">
        <v>1</v>
      </c>
      <c r="D34" s="11">
        <v>41846</v>
      </c>
      <c r="E34" s="12">
        <v>43145</v>
      </c>
      <c r="F34" s="26" t="str">
        <f t="shared" si="0"/>
        <v>42 : 19</v>
      </c>
      <c r="G34" s="14">
        <f t="shared" si="1"/>
        <v>1299</v>
      </c>
      <c r="H34" s="9">
        <v>1</v>
      </c>
      <c r="I34" s="9">
        <v>9</v>
      </c>
      <c r="J34" s="9" t="s">
        <v>40</v>
      </c>
      <c r="K34" s="9" t="s">
        <v>30</v>
      </c>
      <c r="L34" s="15">
        <v>0.5</v>
      </c>
      <c r="M34" s="14">
        <v>-0.5</v>
      </c>
      <c r="AD34" s="14">
        <v>0</v>
      </c>
      <c r="AE34" s="14">
        <v>0</v>
      </c>
      <c r="AG34" s="14" t="s">
        <v>90</v>
      </c>
    </row>
    <row r="35" spans="1:33" s="14" customFormat="1" x14ac:dyDescent="0.25">
      <c r="A35" s="10" t="s">
        <v>75</v>
      </c>
      <c r="B35" s="10"/>
      <c r="C35" s="10">
        <v>1</v>
      </c>
      <c r="D35" s="11">
        <v>41846</v>
      </c>
      <c r="E35" s="12">
        <v>43145</v>
      </c>
      <c r="F35" s="26" t="str">
        <f t="shared" si="0"/>
        <v>42 : 19</v>
      </c>
      <c r="G35" s="14">
        <f t="shared" si="1"/>
        <v>1299</v>
      </c>
      <c r="H35" s="9">
        <v>1</v>
      </c>
      <c r="I35" s="9">
        <v>10</v>
      </c>
      <c r="J35" s="9" t="s">
        <v>33</v>
      </c>
      <c r="K35" s="9" t="s">
        <v>33</v>
      </c>
      <c r="L35" s="15">
        <v>0.5</v>
      </c>
      <c r="M35" s="14">
        <v>0.5</v>
      </c>
      <c r="S35" s="14">
        <v>0</v>
      </c>
      <c r="AD35" s="14">
        <v>0</v>
      </c>
      <c r="AE35" s="14">
        <v>0</v>
      </c>
      <c r="AF35" s="14" t="s">
        <v>91</v>
      </c>
      <c r="AG35" s="14" t="s">
        <v>80</v>
      </c>
    </row>
    <row r="36" spans="1:33" s="14" customFormat="1" x14ac:dyDescent="0.25">
      <c r="A36" s="10" t="s">
        <v>75</v>
      </c>
      <c r="B36" s="10"/>
      <c r="C36" s="10">
        <v>1</v>
      </c>
      <c r="D36" s="11">
        <v>41846</v>
      </c>
      <c r="E36" s="12">
        <v>43145</v>
      </c>
      <c r="F36" s="26" t="str">
        <f t="shared" si="0"/>
        <v>42 : 19</v>
      </c>
      <c r="G36" s="14">
        <f t="shared" si="1"/>
        <v>1299</v>
      </c>
      <c r="H36" s="9">
        <v>1</v>
      </c>
      <c r="I36" s="9">
        <v>11</v>
      </c>
      <c r="J36" s="9" t="s">
        <v>40</v>
      </c>
      <c r="K36" s="9" t="s">
        <v>40</v>
      </c>
      <c r="L36" s="15">
        <v>-0.5</v>
      </c>
      <c r="M36" s="14">
        <v>0.5</v>
      </c>
      <c r="AD36" s="14">
        <v>1</v>
      </c>
      <c r="AE36" s="14">
        <v>0</v>
      </c>
      <c r="AG36" s="14" t="s">
        <v>92</v>
      </c>
    </row>
    <row r="37" spans="1:33" s="14" customFormat="1" x14ac:dyDescent="0.25">
      <c r="A37" s="10" t="s">
        <v>75</v>
      </c>
      <c r="B37" s="10"/>
      <c r="C37" s="10">
        <v>1</v>
      </c>
      <c r="D37" s="11">
        <v>41846</v>
      </c>
      <c r="E37" s="12">
        <v>43145</v>
      </c>
      <c r="F37" s="26" t="str">
        <f t="shared" si="0"/>
        <v>42 : 19</v>
      </c>
      <c r="G37" s="14">
        <f t="shared" si="1"/>
        <v>1299</v>
      </c>
      <c r="H37" s="9">
        <v>1</v>
      </c>
      <c r="I37" s="9">
        <v>12</v>
      </c>
      <c r="J37" s="9" t="s">
        <v>30</v>
      </c>
      <c r="K37" s="9" t="s">
        <v>39</v>
      </c>
      <c r="L37" s="15">
        <v>0.5</v>
      </c>
      <c r="M37" s="14">
        <v>-0.5</v>
      </c>
      <c r="AD37" s="14">
        <v>0</v>
      </c>
      <c r="AE37" s="14">
        <v>0</v>
      </c>
      <c r="AG37" s="14" t="s">
        <v>93</v>
      </c>
    </row>
    <row r="38" spans="1:33" x14ac:dyDescent="0.25">
      <c r="A38" s="17" t="s">
        <v>94</v>
      </c>
      <c r="B38" s="17"/>
      <c r="C38" s="3">
        <v>1</v>
      </c>
      <c r="D38" s="4">
        <v>41861</v>
      </c>
      <c r="E38" s="5">
        <v>43159</v>
      </c>
      <c r="F38" s="25" t="str">
        <f t="shared" si="0"/>
        <v>42 : 18</v>
      </c>
      <c r="G38">
        <f t="shared" si="1"/>
        <v>1298</v>
      </c>
      <c r="H38" s="7">
        <v>3</v>
      </c>
      <c r="I38" s="7">
        <v>1</v>
      </c>
      <c r="J38" s="7" t="s">
        <v>30</v>
      </c>
      <c r="K38" s="7" t="s">
        <v>30</v>
      </c>
      <c r="L38" s="8">
        <v>0.5</v>
      </c>
      <c r="M38">
        <v>0.5</v>
      </c>
      <c r="AD38" s="14">
        <v>1</v>
      </c>
      <c r="AE38" s="14">
        <v>1</v>
      </c>
      <c r="AF38" s="14" t="s">
        <v>95</v>
      </c>
    </row>
    <row r="39" spans="1:33" x14ac:dyDescent="0.25">
      <c r="A39" s="17" t="s">
        <v>94</v>
      </c>
      <c r="B39" s="17"/>
      <c r="C39" s="3">
        <v>1</v>
      </c>
      <c r="D39" s="4">
        <v>41861</v>
      </c>
      <c r="E39" s="5">
        <v>43159</v>
      </c>
      <c r="F39" s="25" t="str">
        <f t="shared" si="0"/>
        <v>42 : 18</v>
      </c>
      <c r="G39">
        <f t="shared" si="1"/>
        <v>1298</v>
      </c>
      <c r="H39" s="7">
        <v>3</v>
      </c>
      <c r="I39" s="7">
        <v>2</v>
      </c>
      <c r="J39" s="7" t="s">
        <v>32</v>
      </c>
      <c r="K39" s="7" t="s">
        <v>33</v>
      </c>
      <c r="L39" s="8">
        <v>0.5</v>
      </c>
      <c r="M39">
        <v>-0.5</v>
      </c>
      <c r="AD39" s="14">
        <v>1</v>
      </c>
      <c r="AE39" s="14">
        <v>1</v>
      </c>
      <c r="AF39" s="14" t="s">
        <v>95</v>
      </c>
    </row>
    <row r="40" spans="1:33" x14ac:dyDescent="0.25">
      <c r="A40" s="17" t="s">
        <v>94</v>
      </c>
      <c r="B40" s="17"/>
      <c r="C40" s="3">
        <v>1</v>
      </c>
      <c r="D40" s="4">
        <v>41861</v>
      </c>
      <c r="E40" s="5">
        <v>43159</v>
      </c>
      <c r="F40" s="25" t="str">
        <f t="shared" si="0"/>
        <v>42 : 18</v>
      </c>
      <c r="G40">
        <f t="shared" si="1"/>
        <v>1298</v>
      </c>
      <c r="H40" s="7">
        <v>3</v>
      </c>
      <c r="I40" s="7">
        <v>3</v>
      </c>
      <c r="J40" s="7" t="s">
        <v>35</v>
      </c>
      <c r="K40" s="9" t="s">
        <v>35</v>
      </c>
      <c r="L40" s="8">
        <v>-0.5</v>
      </c>
      <c r="M40">
        <v>0.5</v>
      </c>
      <c r="AD40" s="14">
        <v>0</v>
      </c>
      <c r="AE40" s="14">
        <v>1</v>
      </c>
      <c r="AF40" s="14" t="s">
        <v>95</v>
      </c>
    </row>
    <row r="41" spans="1:33" x14ac:dyDescent="0.25">
      <c r="A41" s="17" t="s">
        <v>94</v>
      </c>
      <c r="B41" s="17"/>
      <c r="C41" s="3">
        <v>1</v>
      </c>
      <c r="D41" s="4">
        <v>41861</v>
      </c>
      <c r="E41" s="5">
        <v>43159</v>
      </c>
      <c r="F41" s="25" t="str">
        <f t="shared" si="0"/>
        <v>42 : 18</v>
      </c>
      <c r="G41">
        <f t="shared" si="1"/>
        <v>1298</v>
      </c>
      <c r="H41" s="7">
        <v>3</v>
      </c>
      <c r="I41" s="7">
        <v>4</v>
      </c>
      <c r="J41" s="7" t="s">
        <v>32</v>
      </c>
      <c r="K41" s="9" t="s">
        <v>32</v>
      </c>
      <c r="L41" s="8">
        <v>-0.5</v>
      </c>
      <c r="M41">
        <v>0.5</v>
      </c>
      <c r="AD41" s="14">
        <v>0</v>
      </c>
      <c r="AE41" s="14">
        <v>1</v>
      </c>
      <c r="AF41" s="14" t="s">
        <v>95</v>
      </c>
    </row>
    <row r="42" spans="1:33" x14ac:dyDescent="0.25">
      <c r="A42" s="17" t="s">
        <v>94</v>
      </c>
      <c r="B42" s="17"/>
      <c r="C42" s="3">
        <v>1</v>
      </c>
      <c r="D42" s="4">
        <v>41861</v>
      </c>
      <c r="E42" s="5">
        <v>43159</v>
      </c>
      <c r="F42" s="25" t="str">
        <f t="shared" si="0"/>
        <v>42 : 18</v>
      </c>
      <c r="G42">
        <f t="shared" si="1"/>
        <v>1298</v>
      </c>
      <c r="H42" s="7">
        <v>3</v>
      </c>
      <c r="I42" s="7">
        <v>5</v>
      </c>
      <c r="J42" s="7" t="s">
        <v>33</v>
      </c>
      <c r="K42" s="9" t="s">
        <v>35</v>
      </c>
      <c r="L42" s="8">
        <v>0.5</v>
      </c>
      <c r="M42">
        <v>-0.5</v>
      </c>
      <c r="AD42" s="14">
        <v>1</v>
      </c>
      <c r="AE42" s="14">
        <v>1</v>
      </c>
      <c r="AF42" s="14" t="s">
        <v>95</v>
      </c>
    </row>
    <row r="43" spans="1:33" x14ac:dyDescent="0.25">
      <c r="A43" s="17" t="s">
        <v>94</v>
      </c>
      <c r="B43" s="17"/>
      <c r="C43" s="3">
        <v>1</v>
      </c>
      <c r="D43" s="4">
        <v>41861</v>
      </c>
      <c r="E43" s="5">
        <v>43159</v>
      </c>
      <c r="F43" s="25" t="str">
        <f t="shared" si="0"/>
        <v>42 : 18</v>
      </c>
      <c r="G43">
        <f t="shared" si="1"/>
        <v>1298</v>
      </c>
      <c r="H43" s="7">
        <v>3</v>
      </c>
      <c r="I43" s="7">
        <v>6</v>
      </c>
      <c r="J43" s="7" t="s">
        <v>39</v>
      </c>
      <c r="K43" s="9" t="s">
        <v>40</v>
      </c>
      <c r="L43" s="8">
        <v>-0.5</v>
      </c>
      <c r="M43">
        <v>-0.5</v>
      </c>
      <c r="AD43" s="14">
        <v>0</v>
      </c>
      <c r="AE43" s="14">
        <v>1</v>
      </c>
      <c r="AF43" s="14" t="s">
        <v>95</v>
      </c>
    </row>
    <row r="44" spans="1:33" x14ac:dyDescent="0.25">
      <c r="A44" s="17" t="s">
        <v>94</v>
      </c>
      <c r="B44" s="17"/>
      <c r="C44" s="3">
        <v>1</v>
      </c>
      <c r="D44" s="4">
        <v>41861</v>
      </c>
      <c r="E44" s="5">
        <v>43159</v>
      </c>
      <c r="F44" s="25" t="str">
        <f t="shared" si="0"/>
        <v>42 : 18</v>
      </c>
      <c r="G44">
        <f t="shared" si="1"/>
        <v>1298</v>
      </c>
      <c r="H44" s="7">
        <v>3</v>
      </c>
      <c r="I44" s="7">
        <v>7</v>
      </c>
      <c r="J44" s="7" t="s">
        <v>39</v>
      </c>
      <c r="K44" s="9" t="s">
        <v>39</v>
      </c>
      <c r="L44" s="8">
        <v>0.5</v>
      </c>
      <c r="M44">
        <v>0.5</v>
      </c>
      <c r="AD44" s="14">
        <v>1</v>
      </c>
      <c r="AE44" s="14">
        <v>1</v>
      </c>
      <c r="AF44" s="14" t="s">
        <v>95</v>
      </c>
    </row>
    <row r="45" spans="1:33" x14ac:dyDescent="0.25">
      <c r="A45" s="17" t="s">
        <v>94</v>
      </c>
      <c r="B45" s="17"/>
      <c r="C45" s="3">
        <v>1</v>
      </c>
      <c r="D45" s="4">
        <v>41861</v>
      </c>
      <c r="E45" s="5">
        <v>43159</v>
      </c>
      <c r="F45" s="25" t="str">
        <f t="shared" si="0"/>
        <v>42 : 18</v>
      </c>
      <c r="G45">
        <f t="shared" si="1"/>
        <v>1298</v>
      </c>
      <c r="H45" s="7">
        <v>3</v>
      </c>
      <c r="I45" s="7">
        <v>8</v>
      </c>
      <c r="J45" s="7" t="s">
        <v>35</v>
      </c>
      <c r="K45" s="9" t="s">
        <v>32</v>
      </c>
      <c r="L45" s="8">
        <v>0.5</v>
      </c>
      <c r="M45">
        <v>-0.5</v>
      </c>
      <c r="AD45" s="14">
        <v>1</v>
      </c>
      <c r="AE45" s="14">
        <v>1</v>
      </c>
      <c r="AF45" s="14" t="s">
        <v>95</v>
      </c>
    </row>
    <row r="46" spans="1:33" x14ac:dyDescent="0.25">
      <c r="A46" s="17" t="s">
        <v>94</v>
      </c>
      <c r="B46" s="17"/>
      <c r="C46" s="3">
        <v>1</v>
      </c>
      <c r="D46" s="4">
        <v>41861</v>
      </c>
      <c r="E46" s="5">
        <v>43159</v>
      </c>
      <c r="F46" s="25" t="str">
        <f t="shared" si="0"/>
        <v>42 : 18</v>
      </c>
      <c r="G46">
        <f t="shared" si="1"/>
        <v>1298</v>
      </c>
      <c r="H46" s="7">
        <v>3</v>
      </c>
      <c r="I46" s="7">
        <v>9</v>
      </c>
      <c r="J46" s="7" t="s">
        <v>40</v>
      </c>
      <c r="K46" s="9" t="s">
        <v>30</v>
      </c>
      <c r="L46" s="8">
        <v>-0.5</v>
      </c>
      <c r="M46">
        <v>-0.5</v>
      </c>
      <c r="AD46" s="14">
        <v>0</v>
      </c>
      <c r="AE46" s="14">
        <v>1</v>
      </c>
      <c r="AF46" s="14" t="s">
        <v>95</v>
      </c>
    </row>
    <row r="47" spans="1:33" x14ac:dyDescent="0.25">
      <c r="A47" s="17" t="s">
        <v>94</v>
      </c>
      <c r="B47" s="17"/>
      <c r="C47" s="3">
        <v>1</v>
      </c>
      <c r="D47" s="4">
        <v>41861</v>
      </c>
      <c r="E47" s="5">
        <v>43159</v>
      </c>
      <c r="F47" s="25" t="str">
        <f t="shared" si="0"/>
        <v>42 : 18</v>
      </c>
      <c r="G47">
        <f t="shared" si="1"/>
        <v>1298</v>
      </c>
      <c r="H47" s="7">
        <v>3</v>
      </c>
      <c r="I47" s="7">
        <v>10</v>
      </c>
      <c r="J47" s="7" t="s">
        <v>33</v>
      </c>
      <c r="K47" s="9" t="s">
        <v>33</v>
      </c>
      <c r="L47" s="8">
        <v>-0.5</v>
      </c>
      <c r="M47">
        <v>0.5</v>
      </c>
      <c r="AD47" s="14">
        <v>0</v>
      </c>
      <c r="AE47" s="14">
        <v>1</v>
      </c>
      <c r="AF47" s="14" t="s">
        <v>95</v>
      </c>
    </row>
    <row r="48" spans="1:33" x14ac:dyDescent="0.25">
      <c r="A48" s="17" t="s">
        <v>94</v>
      </c>
      <c r="B48" s="17"/>
      <c r="C48" s="3">
        <v>1</v>
      </c>
      <c r="D48" s="4">
        <v>41861</v>
      </c>
      <c r="E48" s="5">
        <v>43159</v>
      </c>
      <c r="F48" s="25" t="str">
        <f t="shared" si="0"/>
        <v>42 : 18</v>
      </c>
      <c r="G48">
        <f t="shared" si="1"/>
        <v>1298</v>
      </c>
      <c r="H48" s="7">
        <v>3</v>
      </c>
      <c r="I48" s="7">
        <v>11</v>
      </c>
      <c r="J48" s="7" t="s">
        <v>40</v>
      </c>
      <c r="K48" s="9" t="s">
        <v>40</v>
      </c>
      <c r="L48" s="8">
        <v>0.5</v>
      </c>
      <c r="M48">
        <v>0.5</v>
      </c>
      <c r="AD48" s="14">
        <v>1</v>
      </c>
      <c r="AE48" s="14">
        <v>1</v>
      </c>
      <c r="AF48" s="14" t="s">
        <v>95</v>
      </c>
    </row>
    <row r="49" spans="1:35" x14ac:dyDescent="0.25">
      <c r="A49" s="17" t="s">
        <v>94</v>
      </c>
      <c r="B49" s="17"/>
      <c r="C49" s="3">
        <v>1</v>
      </c>
      <c r="D49" s="4">
        <v>41861</v>
      </c>
      <c r="E49" s="5">
        <v>43159</v>
      </c>
      <c r="F49" s="25" t="str">
        <f t="shared" si="0"/>
        <v>42 : 18</v>
      </c>
      <c r="G49">
        <f t="shared" si="1"/>
        <v>1298</v>
      </c>
      <c r="H49" s="7">
        <v>3</v>
      </c>
      <c r="I49" s="7">
        <v>12</v>
      </c>
      <c r="J49" s="7" t="s">
        <v>30</v>
      </c>
      <c r="K49" s="9" t="s">
        <v>39</v>
      </c>
      <c r="L49" s="8">
        <v>-0.5</v>
      </c>
      <c r="M49">
        <v>-0.5</v>
      </c>
      <c r="AD49" s="14">
        <v>0</v>
      </c>
      <c r="AE49" s="14">
        <v>1</v>
      </c>
      <c r="AF49" s="14" t="s">
        <v>95</v>
      </c>
    </row>
    <row r="50" spans="1:35" x14ac:dyDescent="0.25">
      <c r="A50" s="3" t="s">
        <v>96</v>
      </c>
      <c r="C50" s="3">
        <v>1</v>
      </c>
      <c r="D50" s="4">
        <v>41861</v>
      </c>
      <c r="E50" s="5">
        <v>43161</v>
      </c>
      <c r="F50" s="25" t="str">
        <f t="shared" si="0"/>
        <v>42 : 20</v>
      </c>
      <c r="G50">
        <f t="shared" si="1"/>
        <v>1300</v>
      </c>
      <c r="H50" s="18">
        <v>4</v>
      </c>
      <c r="I50" s="7" t="s">
        <v>97</v>
      </c>
      <c r="J50" s="7" t="s">
        <v>30</v>
      </c>
      <c r="K50" s="7" t="s">
        <v>30</v>
      </c>
      <c r="L50" s="19">
        <v>0.5</v>
      </c>
      <c r="M50">
        <v>0.5</v>
      </c>
      <c r="AD50">
        <v>0</v>
      </c>
      <c r="AE50">
        <v>0</v>
      </c>
      <c r="AG50" t="s">
        <v>98</v>
      </c>
    </row>
    <row r="51" spans="1:35" x14ac:dyDescent="0.25">
      <c r="A51" s="3" t="s">
        <v>96</v>
      </c>
      <c r="C51" s="3">
        <v>1</v>
      </c>
      <c r="D51" s="4">
        <v>41861</v>
      </c>
      <c r="E51" s="5">
        <v>43161</v>
      </c>
      <c r="F51" s="25" t="str">
        <f t="shared" si="0"/>
        <v>42 : 20</v>
      </c>
      <c r="G51">
        <f t="shared" si="1"/>
        <v>1300</v>
      </c>
      <c r="H51" s="18">
        <v>4</v>
      </c>
      <c r="I51" s="7" t="s">
        <v>99</v>
      </c>
      <c r="J51" s="7" t="s">
        <v>33</v>
      </c>
      <c r="K51" s="9" t="s">
        <v>39</v>
      </c>
      <c r="L51" s="19">
        <v>0.5</v>
      </c>
      <c r="M51">
        <v>-0.5</v>
      </c>
      <c r="N51">
        <v>1</v>
      </c>
      <c r="AD51">
        <v>1</v>
      </c>
      <c r="AE51">
        <v>1</v>
      </c>
      <c r="AF51" t="s">
        <v>100</v>
      </c>
      <c r="AG51" t="s">
        <v>101</v>
      </c>
      <c r="AH51" t="s">
        <v>102</v>
      </c>
    </row>
    <row r="52" spans="1:35" x14ac:dyDescent="0.25">
      <c r="A52" s="3" t="s">
        <v>96</v>
      </c>
      <c r="C52" s="3">
        <v>1</v>
      </c>
      <c r="D52" s="4">
        <v>41861</v>
      </c>
      <c r="E52" s="5">
        <v>43161</v>
      </c>
      <c r="F52" s="25" t="str">
        <f t="shared" si="0"/>
        <v>42 : 20</v>
      </c>
      <c r="G52">
        <f t="shared" si="1"/>
        <v>1300</v>
      </c>
      <c r="H52" s="18">
        <v>4</v>
      </c>
      <c r="I52" s="7" t="s">
        <v>103</v>
      </c>
      <c r="J52" s="7" t="s">
        <v>35</v>
      </c>
      <c r="K52" s="7" t="s">
        <v>35</v>
      </c>
      <c r="L52" s="19">
        <v>-0.5</v>
      </c>
      <c r="M52">
        <v>0.5</v>
      </c>
      <c r="AD52">
        <v>0</v>
      </c>
      <c r="AE52">
        <v>1</v>
      </c>
      <c r="AG52" t="s">
        <v>52</v>
      </c>
    </row>
    <row r="53" spans="1:35" x14ac:dyDescent="0.25">
      <c r="A53" s="3" t="s">
        <v>96</v>
      </c>
      <c r="C53" s="3">
        <v>1</v>
      </c>
      <c r="D53" s="4">
        <v>41861</v>
      </c>
      <c r="E53" s="5">
        <v>43161</v>
      </c>
      <c r="F53" s="25" t="str">
        <f t="shared" si="0"/>
        <v>42 : 20</v>
      </c>
      <c r="G53">
        <f t="shared" si="1"/>
        <v>1300</v>
      </c>
      <c r="H53" s="18">
        <v>4</v>
      </c>
      <c r="I53" s="7" t="s">
        <v>104</v>
      </c>
      <c r="J53" s="7" t="s">
        <v>32</v>
      </c>
      <c r="K53" s="9" t="s">
        <v>32</v>
      </c>
      <c r="L53" s="19">
        <v>-0.5</v>
      </c>
      <c r="M53">
        <v>0.5</v>
      </c>
      <c r="R53">
        <v>1</v>
      </c>
      <c r="S53">
        <v>1</v>
      </c>
      <c r="Y53">
        <v>1</v>
      </c>
      <c r="AD53">
        <v>1</v>
      </c>
      <c r="AE53">
        <v>0</v>
      </c>
      <c r="AF53" t="s">
        <v>105</v>
      </c>
      <c r="AG53" t="s">
        <v>106</v>
      </c>
    </row>
    <row r="54" spans="1:35" x14ac:dyDescent="0.25">
      <c r="A54" s="3" t="s">
        <v>96</v>
      </c>
      <c r="C54" s="3">
        <v>1</v>
      </c>
      <c r="D54" s="4">
        <v>41861</v>
      </c>
      <c r="E54" s="5">
        <v>43161</v>
      </c>
      <c r="F54" s="25" t="str">
        <f t="shared" ref="F54:F117" si="2">DATEDIF(D54,E54,"M")&amp;" : "&amp;DATEDIF(D54,E54,"MD")</f>
        <v>42 : 20</v>
      </c>
      <c r="G54">
        <f t="shared" ref="G54:G117" si="3">DATEDIF(D54,E54,"D")</f>
        <v>1300</v>
      </c>
      <c r="H54" s="18">
        <v>4</v>
      </c>
      <c r="I54" s="7" t="s">
        <v>107</v>
      </c>
      <c r="J54" s="7" t="s">
        <v>35</v>
      </c>
      <c r="K54" s="9" t="s">
        <v>33</v>
      </c>
      <c r="L54" s="19">
        <v>0.5</v>
      </c>
      <c r="M54">
        <v>-0.5</v>
      </c>
      <c r="S54">
        <v>1</v>
      </c>
      <c r="AA54">
        <v>1</v>
      </c>
      <c r="AD54" s="13"/>
      <c r="AE54" s="6"/>
      <c r="AF54" t="s">
        <v>108</v>
      </c>
      <c r="AG54" t="s">
        <v>109</v>
      </c>
      <c r="AI54" s="14"/>
    </row>
    <row r="55" spans="1:35" x14ac:dyDescent="0.25">
      <c r="A55" s="3" t="s">
        <v>96</v>
      </c>
      <c r="C55" s="3">
        <v>1</v>
      </c>
      <c r="D55" s="4">
        <v>41861</v>
      </c>
      <c r="E55" s="5">
        <v>43161</v>
      </c>
      <c r="F55" s="25" t="str">
        <f t="shared" si="2"/>
        <v>42 : 20</v>
      </c>
      <c r="G55">
        <f t="shared" si="3"/>
        <v>1300</v>
      </c>
      <c r="H55" s="18">
        <v>4</v>
      </c>
      <c r="I55" s="7" t="s">
        <v>110</v>
      </c>
      <c r="J55" s="7" t="s">
        <v>40</v>
      </c>
      <c r="K55" s="9" t="s">
        <v>39</v>
      </c>
      <c r="L55" s="20">
        <v>-0.5</v>
      </c>
      <c r="M55" s="14">
        <v>-0.5</v>
      </c>
      <c r="N55" s="14"/>
      <c r="O55" s="14"/>
      <c r="P55" s="14"/>
      <c r="Y55">
        <v>1</v>
      </c>
      <c r="AA55">
        <v>1</v>
      </c>
      <c r="AD55" s="13"/>
      <c r="AE55" s="6"/>
      <c r="AF55" t="s">
        <v>111</v>
      </c>
      <c r="AG55" t="s">
        <v>112</v>
      </c>
      <c r="AI55" s="14"/>
    </row>
    <row r="56" spans="1:35" x14ac:dyDescent="0.25">
      <c r="A56" s="3" t="s">
        <v>96</v>
      </c>
      <c r="C56" s="3">
        <v>1</v>
      </c>
      <c r="D56" s="4">
        <v>41861</v>
      </c>
      <c r="E56" s="5">
        <v>43161</v>
      </c>
      <c r="F56" s="25" t="str">
        <f t="shared" si="2"/>
        <v>42 : 20</v>
      </c>
      <c r="G56">
        <f t="shared" si="3"/>
        <v>1300</v>
      </c>
      <c r="H56" s="18">
        <v>4</v>
      </c>
      <c r="I56" s="7" t="s">
        <v>113</v>
      </c>
      <c r="J56" s="7" t="s">
        <v>39</v>
      </c>
      <c r="K56" s="9" t="s">
        <v>39</v>
      </c>
      <c r="L56" s="20">
        <v>0.5</v>
      </c>
      <c r="M56" s="14">
        <v>0.5</v>
      </c>
      <c r="N56" s="14"/>
      <c r="O56" s="14"/>
      <c r="P56" s="14"/>
      <c r="AD56" s="14">
        <v>0</v>
      </c>
      <c r="AE56">
        <v>0</v>
      </c>
      <c r="AG56" t="s">
        <v>114</v>
      </c>
    </row>
    <row r="57" spans="1:35" x14ac:dyDescent="0.25">
      <c r="A57" s="3" t="s">
        <v>96</v>
      </c>
      <c r="C57" s="3">
        <v>1</v>
      </c>
      <c r="D57" s="4">
        <v>41861</v>
      </c>
      <c r="E57" s="5">
        <v>43161</v>
      </c>
      <c r="F57" s="25" t="str">
        <f t="shared" si="2"/>
        <v>42 : 20</v>
      </c>
      <c r="G57">
        <f t="shared" si="3"/>
        <v>1300</v>
      </c>
      <c r="H57" s="18">
        <v>4</v>
      </c>
      <c r="I57" s="7" t="s">
        <v>115</v>
      </c>
      <c r="J57" s="7" t="s">
        <v>32</v>
      </c>
      <c r="K57" s="9" t="s">
        <v>35</v>
      </c>
      <c r="L57" s="20">
        <v>0.5</v>
      </c>
      <c r="M57" s="14">
        <v>-0.5</v>
      </c>
      <c r="N57" s="14"/>
      <c r="O57" s="14"/>
      <c r="P57" s="14"/>
      <c r="X57" s="6"/>
      <c r="Y57" s="6"/>
      <c r="Z57" s="6"/>
      <c r="AD57" s="13">
        <v>0</v>
      </c>
      <c r="AE57" s="6">
        <v>0</v>
      </c>
      <c r="AG57" t="s">
        <v>116</v>
      </c>
    </row>
    <row r="58" spans="1:35" x14ac:dyDescent="0.25">
      <c r="A58" s="3" t="s">
        <v>96</v>
      </c>
      <c r="C58" s="3">
        <v>1</v>
      </c>
      <c r="D58" s="4">
        <v>41861</v>
      </c>
      <c r="E58" s="5">
        <v>43161</v>
      </c>
      <c r="F58" s="25" t="str">
        <f t="shared" si="2"/>
        <v>42 : 20</v>
      </c>
      <c r="G58">
        <f t="shared" si="3"/>
        <v>1300</v>
      </c>
      <c r="H58" s="18">
        <v>4</v>
      </c>
      <c r="I58" s="7" t="s">
        <v>117</v>
      </c>
      <c r="J58" s="7" t="s">
        <v>30</v>
      </c>
      <c r="K58" s="9" t="s">
        <v>118</v>
      </c>
      <c r="L58" s="20">
        <v>-0.5</v>
      </c>
      <c r="M58" s="14">
        <v>-0.5</v>
      </c>
      <c r="N58" s="14">
        <v>1</v>
      </c>
      <c r="O58" s="14"/>
      <c r="P58" s="14"/>
      <c r="X58" s="6"/>
      <c r="Y58" s="6"/>
      <c r="Z58" s="6"/>
      <c r="AD58" s="14"/>
      <c r="AF58" t="s">
        <v>119</v>
      </c>
      <c r="AG58" t="s">
        <v>120</v>
      </c>
    </row>
    <row r="59" spans="1:35" x14ac:dyDescent="0.25">
      <c r="A59" s="3" t="s">
        <v>96</v>
      </c>
      <c r="C59" s="3">
        <v>1</v>
      </c>
      <c r="D59" s="4">
        <v>41861</v>
      </c>
      <c r="E59" s="5">
        <v>43161</v>
      </c>
      <c r="F59" s="25" t="str">
        <f t="shared" si="2"/>
        <v>42 : 20</v>
      </c>
      <c r="G59">
        <f t="shared" si="3"/>
        <v>1300</v>
      </c>
      <c r="H59" s="18">
        <v>4</v>
      </c>
      <c r="I59" s="7" t="s">
        <v>121</v>
      </c>
      <c r="J59" s="7" t="s">
        <v>33</v>
      </c>
      <c r="K59" s="9" t="s">
        <v>33</v>
      </c>
      <c r="L59" s="20">
        <v>-0.5</v>
      </c>
      <c r="M59" s="14">
        <v>0.5</v>
      </c>
      <c r="N59" s="14"/>
      <c r="O59" s="14"/>
      <c r="P59" s="14"/>
      <c r="Y59">
        <v>1</v>
      </c>
      <c r="AD59" s="13">
        <v>0</v>
      </c>
      <c r="AE59" s="6">
        <v>1</v>
      </c>
      <c r="AF59" t="s">
        <v>122</v>
      </c>
      <c r="AG59" t="s">
        <v>123</v>
      </c>
    </row>
    <row r="60" spans="1:35" x14ac:dyDescent="0.25">
      <c r="A60" s="3" t="s">
        <v>96</v>
      </c>
      <c r="C60" s="3">
        <v>1</v>
      </c>
      <c r="D60" s="4">
        <v>41861</v>
      </c>
      <c r="E60" s="5">
        <v>43161</v>
      </c>
      <c r="F60" s="25" t="str">
        <f t="shared" si="2"/>
        <v>42 : 20</v>
      </c>
      <c r="G60">
        <f t="shared" si="3"/>
        <v>1300</v>
      </c>
      <c r="H60" s="18">
        <v>4</v>
      </c>
      <c r="I60" s="7" t="s">
        <v>124</v>
      </c>
      <c r="J60" s="7" t="s">
        <v>40</v>
      </c>
      <c r="K60" s="9" t="s">
        <v>118</v>
      </c>
      <c r="L60" s="20">
        <v>0.5</v>
      </c>
      <c r="M60" s="9">
        <v>-0.5</v>
      </c>
      <c r="N60" s="14">
        <v>1</v>
      </c>
      <c r="O60" s="14"/>
      <c r="P60" s="14"/>
      <c r="Y60">
        <v>1</v>
      </c>
      <c r="AD60" s="14"/>
      <c r="AF60" t="s">
        <v>125</v>
      </c>
      <c r="AG60" t="s">
        <v>126</v>
      </c>
    </row>
    <row r="61" spans="1:35" x14ac:dyDescent="0.25">
      <c r="A61" s="3" t="s">
        <v>96</v>
      </c>
      <c r="C61" s="3">
        <v>1</v>
      </c>
      <c r="D61" s="4">
        <v>41861</v>
      </c>
      <c r="E61" s="5">
        <v>43161</v>
      </c>
      <c r="F61" s="25" t="str">
        <f t="shared" si="2"/>
        <v>42 : 20</v>
      </c>
      <c r="G61">
        <f t="shared" si="3"/>
        <v>1300</v>
      </c>
      <c r="H61" s="18">
        <v>4</v>
      </c>
      <c r="I61" s="7" t="s">
        <v>127</v>
      </c>
      <c r="J61" s="7" t="s">
        <v>39</v>
      </c>
      <c r="K61" s="9" t="s">
        <v>39</v>
      </c>
      <c r="L61" s="20">
        <v>-0.5</v>
      </c>
      <c r="M61" s="9">
        <v>0.5</v>
      </c>
      <c r="N61" s="9">
        <v>1</v>
      </c>
      <c r="O61" s="9"/>
      <c r="P61" s="9"/>
      <c r="R61">
        <v>1</v>
      </c>
      <c r="S61">
        <v>0</v>
      </c>
      <c r="AD61" s="13"/>
      <c r="AE61" s="6"/>
      <c r="AF61" t="s">
        <v>128</v>
      </c>
      <c r="AG61" t="s">
        <v>129</v>
      </c>
    </row>
    <row r="62" spans="1:35" s="14" customFormat="1" x14ac:dyDescent="0.25">
      <c r="A62" s="10" t="s">
        <v>130</v>
      </c>
      <c r="B62" s="10"/>
      <c r="C62" s="10">
        <v>0</v>
      </c>
      <c r="D62" s="11">
        <v>41869</v>
      </c>
      <c r="E62" s="12">
        <v>43165</v>
      </c>
      <c r="F62" s="26" t="str">
        <f t="shared" si="2"/>
        <v>42 : 16</v>
      </c>
      <c r="G62" s="14">
        <f t="shared" si="3"/>
        <v>1296</v>
      </c>
      <c r="H62" s="9">
        <v>5</v>
      </c>
      <c r="I62" s="9">
        <v>6</v>
      </c>
      <c r="J62" s="9" t="s">
        <v>39</v>
      </c>
      <c r="K62" s="9" t="s">
        <v>40</v>
      </c>
      <c r="L62" s="20">
        <v>0.5</v>
      </c>
      <c r="M62" s="14">
        <v>-0.5</v>
      </c>
      <c r="AD62" s="14">
        <v>0</v>
      </c>
      <c r="AE62" s="14">
        <v>0</v>
      </c>
      <c r="AG62" s="14" t="s">
        <v>41</v>
      </c>
    </row>
    <row r="63" spans="1:35" s="14" customFormat="1" x14ac:dyDescent="0.25">
      <c r="A63" s="10" t="s">
        <v>130</v>
      </c>
      <c r="B63" s="10"/>
      <c r="C63" s="10">
        <v>0</v>
      </c>
      <c r="D63" s="11">
        <v>41869</v>
      </c>
      <c r="E63" s="12">
        <v>43165</v>
      </c>
      <c r="F63" s="26" t="str">
        <f t="shared" si="2"/>
        <v>42 : 16</v>
      </c>
      <c r="G63" s="14">
        <f t="shared" si="3"/>
        <v>1296</v>
      </c>
      <c r="H63" s="9">
        <v>5</v>
      </c>
      <c r="I63" s="9">
        <v>5</v>
      </c>
      <c r="J63" s="9" t="s">
        <v>33</v>
      </c>
      <c r="K63" s="9" t="s">
        <v>35</v>
      </c>
      <c r="L63" s="20">
        <v>-0.5</v>
      </c>
      <c r="M63" s="14">
        <v>-0.5</v>
      </c>
      <c r="Z63" s="14">
        <v>1</v>
      </c>
      <c r="AA63" s="14">
        <v>1</v>
      </c>
      <c r="AD63" s="13"/>
      <c r="AE63" s="13"/>
      <c r="AF63" s="14" t="s">
        <v>131</v>
      </c>
      <c r="AG63" s="14" t="s">
        <v>132</v>
      </c>
    </row>
    <row r="64" spans="1:35" s="14" customFormat="1" x14ac:dyDescent="0.25">
      <c r="A64" s="10" t="s">
        <v>130</v>
      </c>
      <c r="B64" s="10"/>
      <c r="C64" s="10">
        <v>0</v>
      </c>
      <c r="D64" s="11">
        <v>41869</v>
      </c>
      <c r="E64" s="12">
        <v>43165</v>
      </c>
      <c r="F64" s="26" t="str">
        <f t="shared" si="2"/>
        <v>42 : 16</v>
      </c>
      <c r="G64" s="14">
        <f t="shared" si="3"/>
        <v>1296</v>
      </c>
      <c r="H64" s="9">
        <v>5</v>
      </c>
      <c r="I64" s="9">
        <v>4</v>
      </c>
      <c r="J64" s="9" t="s">
        <v>32</v>
      </c>
      <c r="K64" s="9" t="s">
        <v>32</v>
      </c>
      <c r="L64" s="20">
        <v>0.5</v>
      </c>
      <c r="M64" s="14">
        <v>0.5</v>
      </c>
      <c r="AA64" s="14">
        <v>1</v>
      </c>
      <c r="AD64" s="13"/>
      <c r="AE64" s="13"/>
      <c r="AF64" s="14" t="s">
        <v>133</v>
      </c>
      <c r="AG64" s="14" t="s">
        <v>134</v>
      </c>
    </row>
    <row r="65" spans="1:34" s="14" customFormat="1" x14ac:dyDescent="0.25">
      <c r="A65" s="10" t="s">
        <v>130</v>
      </c>
      <c r="B65" s="10"/>
      <c r="C65" s="10">
        <v>0</v>
      </c>
      <c r="D65" s="11">
        <v>41869</v>
      </c>
      <c r="E65" s="12">
        <v>43165</v>
      </c>
      <c r="F65" s="26" t="str">
        <f t="shared" si="2"/>
        <v>42 : 16</v>
      </c>
      <c r="G65" s="14">
        <f t="shared" si="3"/>
        <v>1296</v>
      </c>
      <c r="H65" s="9">
        <v>5</v>
      </c>
      <c r="I65" s="9">
        <v>3</v>
      </c>
      <c r="J65" s="9" t="s">
        <v>35</v>
      </c>
      <c r="K65" s="9" t="s">
        <v>35</v>
      </c>
      <c r="L65" s="20">
        <v>0.5</v>
      </c>
      <c r="M65" s="14">
        <v>0.5</v>
      </c>
      <c r="AD65" s="14">
        <v>0</v>
      </c>
      <c r="AE65" s="14">
        <v>0</v>
      </c>
      <c r="AG65" s="14" t="s">
        <v>45</v>
      </c>
    </row>
    <row r="66" spans="1:34" s="14" customFormat="1" x14ac:dyDescent="0.25">
      <c r="A66" s="10" t="s">
        <v>130</v>
      </c>
      <c r="B66" s="10"/>
      <c r="C66" s="10">
        <v>0</v>
      </c>
      <c r="D66" s="11">
        <v>41869</v>
      </c>
      <c r="E66" s="12">
        <v>43165</v>
      </c>
      <c r="F66" s="26" t="str">
        <f t="shared" si="2"/>
        <v>42 : 16</v>
      </c>
      <c r="G66" s="14">
        <f t="shared" si="3"/>
        <v>1296</v>
      </c>
      <c r="H66" s="9">
        <v>5</v>
      </c>
      <c r="I66" s="9">
        <v>2</v>
      </c>
      <c r="J66" s="9" t="s">
        <v>32</v>
      </c>
      <c r="K66" s="9" t="s">
        <v>33</v>
      </c>
      <c r="L66" s="20">
        <v>-0.5</v>
      </c>
      <c r="M66" s="14">
        <v>-0.5</v>
      </c>
      <c r="S66" s="14">
        <v>0</v>
      </c>
      <c r="AA66" s="14">
        <v>1</v>
      </c>
      <c r="AD66" s="13"/>
      <c r="AE66" s="13"/>
      <c r="AF66" s="14" t="s">
        <v>135</v>
      </c>
      <c r="AG66" s="14" t="s">
        <v>136</v>
      </c>
    </row>
    <row r="67" spans="1:34" s="14" customFormat="1" x14ac:dyDescent="0.25">
      <c r="A67" s="10" t="s">
        <v>130</v>
      </c>
      <c r="B67" s="10"/>
      <c r="C67" s="10">
        <v>0</v>
      </c>
      <c r="D67" s="11">
        <v>41869</v>
      </c>
      <c r="E67" s="12">
        <v>43165</v>
      </c>
      <c r="F67" s="26" t="str">
        <f t="shared" si="2"/>
        <v>42 : 16</v>
      </c>
      <c r="G67" s="14">
        <f t="shared" si="3"/>
        <v>1296</v>
      </c>
      <c r="H67" s="9">
        <v>5</v>
      </c>
      <c r="I67" s="9">
        <v>1</v>
      </c>
      <c r="J67" s="9" t="s">
        <v>30</v>
      </c>
      <c r="K67" s="9" t="s">
        <v>30</v>
      </c>
      <c r="L67" s="20">
        <v>-0.5</v>
      </c>
      <c r="M67" s="14">
        <v>0.5</v>
      </c>
      <c r="S67" s="14">
        <v>1</v>
      </c>
      <c r="AD67" s="14">
        <v>0</v>
      </c>
      <c r="AE67" s="14">
        <v>1</v>
      </c>
      <c r="AF67" s="14" t="s">
        <v>137</v>
      </c>
      <c r="AG67" s="14" t="s">
        <v>53</v>
      </c>
    </row>
    <row r="68" spans="1:34" s="14" customFormat="1" x14ac:dyDescent="0.25">
      <c r="A68" s="10" t="s">
        <v>130</v>
      </c>
      <c r="B68" s="10"/>
      <c r="C68" s="10">
        <v>0</v>
      </c>
      <c r="D68" s="11">
        <v>41869</v>
      </c>
      <c r="E68" s="12">
        <v>43165</v>
      </c>
      <c r="F68" s="26" t="str">
        <f t="shared" si="2"/>
        <v>42 : 16</v>
      </c>
      <c r="G68" s="14">
        <f t="shared" si="3"/>
        <v>1296</v>
      </c>
      <c r="H68" s="9">
        <v>5</v>
      </c>
      <c r="I68" s="9">
        <v>12</v>
      </c>
      <c r="J68" s="9" t="s">
        <v>30</v>
      </c>
      <c r="K68" s="9" t="s">
        <v>39</v>
      </c>
      <c r="L68" s="20">
        <v>0.5</v>
      </c>
      <c r="M68" s="14">
        <v>-0.5</v>
      </c>
      <c r="AD68" s="14">
        <v>0</v>
      </c>
      <c r="AE68" s="14">
        <v>0</v>
      </c>
      <c r="AG68" s="14" t="s">
        <v>93</v>
      </c>
    </row>
    <row r="69" spans="1:34" s="14" customFormat="1" x14ac:dyDescent="0.25">
      <c r="A69" s="10" t="s">
        <v>130</v>
      </c>
      <c r="B69" s="10"/>
      <c r="C69" s="10">
        <v>0</v>
      </c>
      <c r="D69" s="11">
        <v>41869</v>
      </c>
      <c r="E69" s="12">
        <v>43165</v>
      </c>
      <c r="F69" s="26" t="str">
        <f t="shared" si="2"/>
        <v>42 : 16</v>
      </c>
      <c r="G69" s="14">
        <f t="shared" si="3"/>
        <v>1296</v>
      </c>
      <c r="H69" s="9">
        <v>5</v>
      </c>
      <c r="I69" s="9">
        <v>11</v>
      </c>
      <c r="J69" s="9" t="s">
        <v>40</v>
      </c>
      <c r="K69" s="9" t="s">
        <v>40</v>
      </c>
      <c r="L69" s="20">
        <v>-0.5</v>
      </c>
      <c r="M69" s="14">
        <v>0.5</v>
      </c>
      <c r="AD69" s="14">
        <v>0</v>
      </c>
      <c r="AE69" s="14">
        <v>1</v>
      </c>
      <c r="AG69" s="14" t="s">
        <v>138</v>
      </c>
    </row>
    <row r="70" spans="1:34" s="14" customFormat="1" x14ac:dyDescent="0.25">
      <c r="A70" s="10" t="s">
        <v>130</v>
      </c>
      <c r="B70" s="10"/>
      <c r="C70" s="10">
        <v>0</v>
      </c>
      <c r="D70" s="11">
        <v>41869</v>
      </c>
      <c r="E70" s="12">
        <v>43165</v>
      </c>
      <c r="F70" s="26" t="str">
        <f t="shared" si="2"/>
        <v>42 : 16</v>
      </c>
      <c r="G70" s="14">
        <f t="shared" si="3"/>
        <v>1296</v>
      </c>
      <c r="H70" s="9">
        <v>5</v>
      </c>
      <c r="I70" s="9">
        <v>10</v>
      </c>
      <c r="J70" s="9" t="s">
        <v>33</v>
      </c>
      <c r="K70" s="9" t="s">
        <v>33</v>
      </c>
      <c r="L70" s="20">
        <v>0.5</v>
      </c>
      <c r="M70" s="14">
        <v>0.5</v>
      </c>
      <c r="AD70" s="14">
        <v>0</v>
      </c>
      <c r="AE70" s="14">
        <v>0</v>
      </c>
      <c r="AG70" s="14" t="s">
        <v>45</v>
      </c>
    </row>
    <row r="71" spans="1:34" s="14" customFormat="1" x14ac:dyDescent="0.25">
      <c r="A71" s="10" t="s">
        <v>130</v>
      </c>
      <c r="B71" s="10"/>
      <c r="C71" s="10">
        <v>0</v>
      </c>
      <c r="D71" s="11">
        <v>41869</v>
      </c>
      <c r="E71" s="12">
        <v>43165</v>
      </c>
      <c r="F71" s="26" t="str">
        <f t="shared" si="2"/>
        <v>42 : 16</v>
      </c>
      <c r="G71" s="14">
        <f t="shared" si="3"/>
        <v>1296</v>
      </c>
      <c r="H71" s="9">
        <v>5</v>
      </c>
      <c r="I71" s="9">
        <v>9</v>
      </c>
      <c r="J71" s="9" t="s">
        <v>40</v>
      </c>
      <c r="K71" s="9" t="s">
        <v>30</v>
      </c>
      <c r="L71" s="20">
        <v>0.5</v>
      </c>
      <c r="M71" s="14">
        <v>-0.5</v>
      </c>
      <c r="AD71" s="14">
        <v>0</v>
      </c>
      <c r="AE71" s="14">
        <v>0</v>
      </c>
      <c r="AG71" s="14" t="s">
        <v>90</v>
      </c>
    </row>
    <row r="72" spans="1:34" s="14" customFormat="1" x14ac:dyDescent="0.25">
      <c r="A72" s="10" t="s">
        <v>130</v>
      </c>
      <c r="B72" s="10"/>
      <c r="C72" s="10">
        <v>0</v>
      </c>
      <c r="D72" s="11">
        <v>41869</v>
      </c>
      <c r="E72" s="12">
        <v>43165</v>
      </c>
      <c r="F72" s="26" t="str">
        <f t="shared" si="2"/>
        <v>42 : 16</v>
      </c>
      <c r="G72" s="14">
        <f t="shared" si="3"/>
        <v>1296</v>
      </c>
      <c r="H72" s="9">
        <v>5</v>
      </c>
      <c r="I72" s="9">
        <v>8</v>
      </c>
      <c r="J72" s="9" t="s">
        <v>35</v>
      </c>
      <c r="K72" s="9" t="s">
        <v>32</v>
      </c>
      <c r="L72" s="20">
        <v>-0.5</v>
      </c>
      <c r="M72" s="14">
        <v>-0.5</v>
      </c>
      <c r="AD72" s="14">
        <v>0</v>
      </c>
      <c r="AE72" s="14">
        <v>1</v>
      </c>
      <c r="AG72" s="14" t="s">
        <v>139</v>
      </c>
    </row>
    <row r="73" spans="1:34" s="14" customFormat="1" x14ac:dyDescent="0.25">
      <c r="A73" s="10" t="s">
        <v>130</v>
      </c>
      <c r="B73" s="10"/>
      <c r="C73" s="10">
        <v>0</v>
      </c>
      <c r="D73" s="11">
        <v>41869</v>
      </c>
      <c r="E73" s="12">
        <v>43165</v>
      </c>
      <c r="F73" s="26" t="str">
        <f t="shared" si="2"/>
        <v>42 : 16</v>
      </c>
      <c r="G73" s="14">
        <f t="shared" si="3"/>
        <v>1296</v>
      </c>
      <c r="H73" s="9">
        <v>5</v>
      </c>
      <c r="I73" s="9">
        <v>7</v>
      </c>
      <c r="J73" s="9" t="s">
        <v>39</v>
      </c>
      <c r="K73" s="9" t="s">
        <v>39</v>
      </c>
      <c r="L73" s="20">
        <v>-0.5</v>
      </c>
      <c r="M73" s="14">
        <v>0.5</v>
      </c>
      <c r="S73" s="14">
        <v>1</v>
      </c>
      <c r="Y73" s="14">
        <v>1</v>
      </c>
      <c r="AD73" s="14">
        <v>1</v>
      </c>
      <c r="AE73" s="14">
        <v>0</v>
      </c>
      <c r="AF73" s="14" t="s">
        <v>140</v>
      </c>
      <c r="AG73" s="14" t="s">
        <v>141</v>
      </c>
    </row>
    <row r="74" spans="1:34" x14ac:dyDescent="0.25">
      <c r="A74" s="3" t="s">
        <v>142</v>
      </c>
      <c r="C74" s="3">
        <v>0</v>
      </c>
      <c r="D74" s="4">
        <v>41876</v>
      </c>
      <c r="E74" s="5">
        <v>43185</v>
      </c>
      <c r="F74" s="25" t="str">
        <f t="shared" si="2"/>
        <v>43 : 1</v>
      </c>
      <c r="G74">
        <f t="shared" si="3"/>
        <v>1309</v>
      </c>
      <c r="H74" s="7">
        <v>6</v>
      </c>
      <c r="I74" s="7" t="s">
        <v>143</v>
      </c>
      <c r="J74" s="7" t="s">
        <v>40</v>
      </c>
      <c r="K74" s="7" t="s">
        <v>39</v>
      </c>
      <c r="L74" s="19">
        <v>0.5</v>
      </c>
      <c r="M74">
        <v>-0.5</v>
      </c>
      <c r="P74">
        <v>1</v>
      </c>
      <c r="AD74" s="21"/>
      <c r="AE74" s="21"/>
      <c r="AF74" s="16" t="s">
        <v>95</v>
      </c>
      <c r="AH74" s="16" t="s">
        <v>144</v>
      </c>
    </row>
    <row r="75" spans="1:34" x14ac:dyDescent="0.25">
      <c r="A75" s="3" t="s">
        <v>142</v>
      </c>
      <c r="C75" s="3">
        <v>0</v>
      </c>
      <c r="D75" s="4">
        <v>41876</v>
      </c>
      <c r="E75" s="5">
        <v>43185</v>
      </c>
      <c r="F75" s="25" t="str">
        <f t="shared" si="2"/>
        <v>43 : 1</v>
      </c>
      <c r="G75">
        <f t="shared" si="3"/>
        <v>1309</v>
      </c>
      <c r="H75" s="7">
        <v>6</v>
      </c>
      <c r="I75" s="7" t="s">
        <v>145</v>
      </c>
      <c r="J75" s="7" t="s">
        <v>35</v>
      </c>
      <c r="K75" s="7" t="s">
        <v>33</v>
      </c>
      <c r="L75" s="19">
        <v>-0.5</v>
      </c>
      <c r="M75">
        <v>-0.5</v>
      </c>
      <c r="P75">
        <v>1</v>
      </c>
      <c r="AD75" s="21"/>
      <c r="AE75" s="21"/>
      <c r="AF75" s="16" t="s">
        <v>95</v>
      </c>
      <c r="AH75" s="16" t="s">
        <v>144</v>
      </c>
    </row>
    <row r="76" spans="1:34" x14ac:dyDescent="0.25">
      <c r="A76" s="3" t="s">
        <v>142</v>
      </c>
      <c r="C76" s="3">
        <v>0</v>
      </c>
      <c r="D76" s="4">
        <v>41876</v>
      </c>
      <c r="E76" s="5">
        <v>43185</v>
      </c>
      <c r="F76" s="25" t="str">
        <f t="shared" si="2"/>
        <v>43 : 1</v>
      </c>
      <c r="G76">
        <f t="shared" si="3"/>
        <v>1309</v>
      </c>
      <c r="H76" s="7">
        <v>6</v>
      </c>
      <c r="I76" s="7" t="s">
        <v>146</v>
      </c>
      <c r="J76" s="7" t="s">
        <v>32</v>
      </c>
      <c r="K76" s="7" t="s">
        <v>32</v>
      </c>
      <c r="L76" s="19">
        <v>0.5</v>
      </c>
      <c r="M76">
        <v>0.5</v>
      </c>
      <c r="P76">
        <v>1</v>
      </c>
      <c r="AD76" s="21"/>
      <c r="AE76" s="21"/>
      <c r="AF76" s="16" t="s">
        <v>95</v>
      </c>
      <c r="AH76" s="16" t="s">
        <v>144</v>
      </c>
    </row>
    <row r="77" spans="1:34" x14ac:dyDescent="0.25">
      <c r="A77" s="3" t="s">
        <v>142</v>
      </c>
      <c r="C77" s="3">
        <v>0</v>
      </c>
      <c r="D77" s="4">
        <v>41876</v>
      </c>
      <c r="E77" s="5">
        <v>43185</v>
      </c>
      <c r="F77" s="25" t="str">
        <f t="shared" si="2"/>
        <v>43 : 1</v>
      </c>
      <c r="G77">
        <f t="shared" si="3"/>
        <v>1309</v>
      </c>
      <c r="H77" s="7">
        <v>6</v>
      </c>
      <c r="I77" s="7" t="s">
        <v>147</v>
      </c>
      <c r="J77" s="7" t="s">
        <v>35</v>
      </c>
      <c r="K77" s="7" t="s">
        <v>35</v>
      </c>
      <c r="L77" s="19">
        <v>0.5</v>
      </c>
      <c r="M77">
        <v>0.5</v>
      </c>
      <c r="P77">
        <v>1</v>
      </c>
      <c r="AD77" s="21"/>
      <c r="AE77" s="21"/>
      <c r="AF77" s="16" t="s">
        <v>95</v>
      </c>
      <c r="AH77" s="16" t="s">
        <v>144</v>
      </c>
    </row>
    <row r="78" spans="1:34" x14ac:dyDescent="0.25">
      <c r="A78" s="3" t="s">
        <v>142</v>
      </c>
      <c r="C78" s="3">
        <v>0</v>
      </c>
      <c r="D78" s="4">
        <v>41876</v>
      </c>
      <c r="E78" s="5">
        <v>43185</v>
      </c>
      <c r="F78" s="25" t="str">
        <f t="shared" si="2"/>
        <v>43 : 1</v>
      </c>
      <c r="G78">
        <f t="shared" si="3"/>
        <v>1309</v>
      </c>
      <c r="H78" s="7">
        <v>6</v>
      </c>
      <c r="I78" s="7" t="s">
        <v>148</v>
      </c>
      <c r="J78" s="7" t="s">
        <v>33</v>
      </c>
      <c r="K78" s="7" t="s">
        <v>32</v>
      </c>
      <c r="L78" s="19">
        <v>-0.5</v>
      </c>
      <c r="M78">
        <v>-0.5</v>
      </c>
      <c r="AD78" s="14">
        <v>1</v>
      </c>
      <c r="AE78">
        <v>0</v>
      </c>
      <c r="AF78" t="s">
        <v>149</v>
      </c>
      <c r="AG78" t="s">
        <v>150</v>
      </c>
      <c r="AH78" s="14" t="s">
        <v>151</v>
      </c>
    </row>
    <row r="79" spans="1:34" x14ac:dyDescent="0.25">
      <c r="A79" s="3" t="s">
        <v>142</v>
      </c>
      <c r="C79" s="3">
        <v>0</v>
      </c>
      <c r="D79" s="4">
        <v>41876</v>
      </c>
      <c r="E79" s="5">
        <v>43185</v>
      </c>
      <c r="F79" s="25" t="str">
        <f t="shared" si="2"/>
        <v>43 : 1</v>
      </c>
      <c r="G79">
        <f t="shared" si="3"/>
        <v>1309</v>
      </c>
      <c r="H79" s="7">
        <v>6</v>
      </c>
      <c r="I79" s="7" t="s">
        <v>152</v>
      </c>
      <c r="J79" s="7" t="s">
        <v>30</v>
      </c>
      <c r="K79" s="7" t="s">
        <v>30</v>
      </c>
      <c r="L79" s="19">
        <v>-0.5</v>
      </c>
      <c r="M79">
        <v>0.5</v>
      </c>
      <c r="AD79">
        <v>1</v>
      </c>
      <c r="AE79">
        <v>0</v>
      </c>
      <c r="AF79" t="s">
        <v>95</v>
      </c>
    </row>
    <row r="80" spans="1:34" x14ac:dyDescent="0.25">
      <c r="A80" s="3" t="s">
        <v>142</v>
      </c>
      <c r="C80" s="3">
        <v>0</v>
      </c>
      <c r="D80" s="4">
        <v>41876</v>
      </c>
      <c r="E80" s="5">
        <v>43185</v>
      </c>
      <c r="F80" s="25" t="str">
        <f t="shared" si="2"/>
        <v>43 : 1</v>
      </c>
      <c r="G80">
        <f t="shared" si="3"/>
        <v>1309</v>
      </c>
      <c r="H80" s="7">
        <v>6</v>
      </c>
      <c r="I80" s="7" t="s">
        <v>153</v>
      </c>
      <c r="J80" s="7" t="s">
        <v>39</v>
      </c>
      <c r="K80" s="7" t="s">
        <v>39</v>
      </c>
      <c r="L80" s="19">
        <v>0.5</v>
      </c>
      <c r="M80">
        <v>0.5</v>
      </c>
      <c r="O80">
        <v>1</v>
      </c>
      <c r="AD80">
        <v>1</v>
      </c>
      <c r="AE80">
        <v>1</v>
      </c>
      <c r="AF80" t="s">
        <v>95</v>
      </c>
    </row>
    <row r="81" spans="1:34" x14ac:dyDescent="0.25">
      <c r="A81" s="3" t="s">
        <v>142</v>
      </c>
      <c r="C81" s="3">
        <v>0</v>
      </c>
      <c r="D81" s="4">
        <v>41876</v>
      </c>
      <c r="E81" s="5">
        <v>43185</v>
      </c>
      <c r="F81" s="25" t="str">
        <f t="shared" si="2"/>
        <v>43 : 1</v>
      </c>
      <c r="G81">
        <f t="shared" si="3"/>
        <v>1309</v>
      </c>
      <c r="H81" s="7">
        <v>6</v>
      </c>
      <c r="I81" s="7" t="s">
        <v>154</v>
      </c>
      <c r="J81" s="7" t="s">
        <v>40</v>
      </c>
      <c r="K81" s="7" t="s">
        <v>40</v>
      </c>
      <c r="L81" s="19">
        <v>-0.5</v>
      </c>
      <c r="M81">
        <v>0.5</v>
      </c>
      <c r="AD81">
        <v>0</v>
      </c>
      <c r="AE81">
        <v>1</v>
      </c>
      <c r="AF81" t="s">
        <v>95</v>
      </c>
    </row>
    <row r="82" spans="1:34" x14ac:dyDescent="0.25">
      <c r="A82" s="3" t="s">
        <v>142</v>
      </c>
      <c r="C82" s="3">
        <v>0</v>
      </c>
      <c r="D82" s="4">
        <v>41876</v>
      </c>
      <c r="E82" s="5">
        <v>43185</v>
      </c>
      <c r="F82" s="25" t="str">
        <f t="shared" si="2"/>
        <v>43 : 1</v>
      </c>
      <c r="G82">
        <f t="shared" si="3"/>
        <v>1309</v>
      </c>
      <c r="H82" s="7">
        <v>6</v>
      </c>
      <c r="I82" s="7" t="s">
        <v>155</v>
      </c>
      <c r="J82" s="7" t="s">
        <v>33</v>
      </c>
      <c r="K82" s="7" t="s">
        <v>33</v>
      </c>
      <c r="L82" s="19">
        <v>0.5</v>
      </c>
      <c r="M82">
        <v>0.5</v>
      </c>
      <c r="AD82">
        <v>0</v>
      </c>
      <c r="AE82">
        <v>0</v>
      </c>
      <c r="AF82" t="s">
        <v>95</v>
      </c>
    </row>
    <row r="83" spans="1:34" x14ac:dyDescent="0.25">
      <c r="A83" s="3" t="s">
        <v>142</v>
      </c>
      <c r="C83" s="3">
        <v>0</v>
      </c>
      <c r="D83" s="4">
        <v>41876</v>
      </c>
      <c r="E83" s="5">
        <v>43185</v>
      </c>
      <c r="F83" s="25" t="str">
        <f t="shared" si="2"/>
        <v>43 : 1</v>
      </c>
      <c r="G83">
        <f t="shared" si="3"/>
        <v>1309</v>
      </c>
      <c r="H83" s="7">
        <v>6</v>
      </c>
      <c r="I83" s="7" t="s">
        <v>156</v>
      </c>
      <c r="J83" s="7" t="s">
        <v>30</v>
      </c>
      <c r="K83" s="7" t="s">
        <v>40</v>
      </c>
      <c r="L83" s="19">
        <v>0.5</v>
      </c>
      <c r="M83">
        <v>-0.5</v>
      </c>
      <c r="AD83">
        <v>0</v>
      </c>
      <c r="AE83">
        <v>0</v>
      </c>
      <c r="AF83" t="s">
        <v>95</v>
      </c>
    </row>
    <row r="84" spans="1:34" x14ac:dyDescent="0.25">
      <c r="A84" s="3" t="s">
        <v>142</v>
      </c>
      <c r="C84" s="3">
        <v>0</v>
      </c>
      <c r="D84" s="4">
        <v>41876</v>
      </c>
      <c r="E84" s="5">
        <v>43185</v>
      </c>
      <c r="F84" s="25" t="str">
        <f t="shared" si="2"/>
        <v>43 : 1</v>
      </c>
      <c r="G84">
        <f t="shared" si="3"/>
        <v>1309</v>
      </c>
      <c r="H84" s="7">
        <v>6</v>
      </c>
      <c r="I84" s="7" t="s">
        <v>157</v>
      </c>
      <c r="J84" s="7" t="s">
        <v>32</v>
      </c>
      <c r="K84" s="7" t="s">
        <v>35</v>
      </c>
      <c r="L84" s="19">
        <v>-0.5</v>
      </c>
      <c r="M84">
        <v>-0.5</v>
      </c>
      <c r="AD84">
        <v>0</v>
      </c>
      <c r="AE84">
        <v>1</v>
      </c>
      <c r="AF84" t="s">
        <v>95</v>
      </c>
    </row>
    <row r="85" spans="1:34" x14ac:dyDescent="0.25">
      <c r="A85" s="3" t="s">
        <v>142</v>
      </c>
      <c r="C85" s="3">
        <v>0</v>
      </c>
      <c r="D85" s="4">
        <v>41876</v>
      </c>
      <c r="E85" s="5">
        <v>43185</v>
      </c>
      <c r="F85" s="25" t="str">
        <f t="shared" si="2"/>
        <v>43 : 1</v>
      </c>
      <c r="G85">
        <f t="shared" si="3"/>
        <v>1309</v>
      </c>
      <c r="H85" s="7">
        <v>6</v>
      </c>
      <c r="I85" s="7" t="s">
        <v>158</v>
      </c>
      <c r="J85" s="7" t="s">
        <v>39</v>
      </c>
      <c r="K85" s="7" t="s">
        <v>39</v>
      </c>
      <c r="L85" s="19">
        <v>-0.5</v>
      </c>
      <c r="M85">
        <v>0.5</v>
      </c>
      <c r="AD85">
        <v>0</v>
      </c>
      <c r="AE85">
        <v>1</v>
      </c>
      <c r="AF85" t="s">
        <v>95</v>
      </c>
    </row>
    <row r="86" spans="1:34" x14ac:dyDescent="0.25">
      <c r="A86" s="3" t="s">
        <v>159</v>
      </c>
      <c r="C86" s="3">
        <v>0</v>
      </c>
      <c r="D86" s="4">
        <v>41891</v>
      </c>
      <c r="E86" s="5">
        <v>43194</v>
      </c>
      <c r="F86" s="25" t="str">
        <f t="shared" si="2"/>
        <v>42 : 26</v>
      </c>
      <c r="G86">
        <f t="shared" si="3"/>
        <v>1303</v>
      </c>
      <c r="H86" s="7">
        <v>7</v>
      </c>
      <c r="I86" s="7">
        <v>6</v>
      </c>
      <c r="J86" s="7" t="s">
        <v>39</v>
      </c>
      <c r="K86" s="7" t="s">
        <v>40</v>
      </c>
      <c r="L86" s="19">
        <v>-0.5</v>
      </c>
      <c r="M86">
        <v>-0.5</v>
      </c>
      <c r="AA86">
        <v>1</v>
      </c>
      <c r="AD86" s="13"/>
      <c r="AE86" s="13"/>
      <c r="AF86" t="s">
        <v>160</v>
      </c>
      <c r="AG86" t="s">
        <v>161</v>
      </c>
    </row>
    <row r="87" spans="1:34" x14ac:dyDescent="0.25">
      <c r="A87" s="3" t="s">
        <v>159</v>
      </c>
      <c r="C87" s="3">
        <v>0</v>
      </c>
      <c r="D87" s="4">
        <v>41891</v>
      </c>
      <c r="E87" s="5">
        <v>43194</v>
      </c>
      <c r="F87" s="25" t="str">
        <f t="shared" si="2"/>
        <v>42 : 26</v>
      </c>
      <c r="G87">
        <f t="shared" si="3"/>
        <v>1303</v>
      </c>
      <c r="H87" s="7">
        <v>7</v>
      </c>
      <c r="I87" s="7">
        <v>5</v>
      </c>
      <c r="J87" s="7" t="s">
        <v>33</v>
      </c>
      <c r="K87" s="7" t="s">
        <v>35</v>
      </c>
      <c r="L87" s="19">
        <v>0.5</v>
      </c>
      <c r="M87">
        <v>-0.5</v>
      </c>
      <c r="AA87">
        <v>1</v>
      </c>
      <c r="AF87" t="s">
        <v>162</v>
      </c>
      <c r="AG87" t="s">
        <v>163</v>
      </c>
    </row>
    <row r="88" spans="1:34" x14ac:dyDescent="0.25">
      <c r="A88" s="3" t="s">
        <v>159</v>
      </c>
      <c r="C88" s="3">
        <v>0</v>
      </c>
      <c r="D88" s="4">
        <v>41891</v>
      </c>
      <c r="E88" s="5">
        <v>43194</v>
      </c>
      <c r="F88" s="25" t="str">
        <f t="shared" si="2"/>
        <v>42 : 26</v>
      </c>
      <c r="G88">
        <f t="shared" si="3"/>
        <v>1303</v>
      </c>
      <c r="H88" s="7">
        <v>7</v>
      </c>
      <c r="I88" s="7">
        <v>4</v>
      </c>
      <c r="J88" s="7" t="s">
        <v>32</v>
      </c>
      <c r="K88" s="7" t="s">
        <v>32</v>
      </c>
      <c r="L88" s="19">
        <v>-0.5</v>
      </c>
      <c r="M88">
        <v>0.5</v>
      </c>
      <c r="AA88">
        <v>1</v>
      </c>
      <c r="AF88" t="s">
        <v>164</v>
      </c>
      <c r="AG88" t="s">
        <v>165</v>
      </c>
      <c r="AH88" t="s">
        <v>166</v>
      </c>
    </row>
    <row r="89" spans="1:34" x14ac:dyDescent="0.25">
      <c r="A89" s="3" t="s">
        <v>159</v>
      </c>
      <c r="C89" s="3">
        <v>0</v>
      </c>
      <c r="D89" s="4">
        <v>41891</v>
      </c>
      <c r="E89" s="5">
        <v>43194</v>
      </c>
      <c r="F89" s="25" t="str">
        <f t="shared" si="2"/>
        <v>42 : 26</v>
      </c>
      <c r="G89">
        <f t="shared" si="3"/>
        <v>1303</v>
      </c>
      <c r="H89" s="7">
        <v>7</v>
      </c>
      <c r="I89" s="7">
        <v>3</v>
      </c>
      <c r="J89" s="7" t="s">
        <v>35</v>
      </c>
      <c r="K89" s="9" t="s">
        <v>35</v>
      </c>
      <c r="L89" s="19">
        <v>-0.5</v>
      </c>
      <c r="M89">
        <v>0.5</v>
      </c>
      <c r="AA89">
        <v>1</v>
      </c>
      <c r="AF89" t="s">
        <v>167</v>
      </c>
      <c r="AG89" t="s">
        <v>168</v>
      </c>
      <c r="AH89" t="s">
        <v>169</v>
      </c>
    </row>
    <row r="90" spans="1:34" x14ac:dyDescent="0.25">
      <c r="A90" s="3" t="s">
        <v>159</v>
      </c>
      <c r="C90" s="3">
        <v>0</v>
      </c>
      <c r="D90" s="4">
        <v>41891</v>
      </c>
      <c r="E90" s="5">
        <v>43194</v>
      </c>
      <c r="F90" s="25" t="str">
        <f t="shared" si="2"/>
        <v>42 : 26</v>
      </c>
      <c r="G90">
        <f t="shared" si="3"/>
        <v>1303</v>
      </c>
      <c r="H90" s="7">
        <v>7</v>
      </c>
      <c r="I90" s="7">
        <v>2</v>
      </c>
      <c r="J90" s="7" t="s">
        <v>32</v>
      </c>
      <c r="K90" s="9" t="s">
        <v>33</v>
      </c>
      <c r="L90" s="19">
        <v>0.5</v>
      </c>
      <c r="M90">
        <v>-0.5</v>
      </c>
      <c r="AA90">
        <v>1</v>
      </c>
      <c r="AF90" t="s">
        <v>170</v>
      </c>
      <c r="AG90" t="s">
        <v>171</v>
      </c>
    </row>
    <row r="91" spans="1:34" x14ac:dyDescent="0.25">
      <c r="A91" s="3" t="s">
        <v>159</v>
      </c>
      <c r="C91" s="3">
        <v>0</v>
      </c>
      <c r="D91" s="4">
        <v>41891</v>
      </c>
      <c r="E91" s="5">
        <v>43194</v>
      </c>
      <c r="F91" s="25" t="str">
        <f t="shared" si="2"/>
        <v>42 : 26</v>
      </c>
      <c r="G91">
        <f t="shared" si="3"/>
        <v>1303</v>
      </c>
      <c r="H91" s="7">
        <v>7</v>
      </c>
      <c r="I91" s="7">
        <v>1</v>
      </c>
      <c r="J91" s="7" t="s">
        <v>30</v>
      </c>
      <c r="K91" s="9" t="s">
        <v>30</v>
      </c>
      <c r="L91" s="19">
        <v>0.5</v>
      </c>
      <c r="M91">
        <v>0.5</v>
      </c>
      <c r="AA91">
        <v>1</v>
      </c>
      <c r="AD91" s="6"/>
      <c r="AE91" s="6"/>
      <c r="AF91" t="s">
        <v>172</v>
      </c>
      <c r="AG91" t="s">
        <v>173</v>
      </c>
    </row>
    <row r="92" spans="1:34" x14ac:dyDescent="0.25">
      <c r="A92" s="3" t="s">
        <v>159</v>
      </c>
      <c r="C92" s="3">
        <v>0</v>
      </c>
      <c r="D92" s="4">
        <v>41891</v>
      </c>
      <c r="E92" s="5">
        <v>43194</v>
      </c>
      <c r="F92" s="25" t="str">
        <f t="shared" si="2"/>
        <v>42 : 26</v>
      </c>
      <c r="G92">
        <f t="shared" si="3"/>
        <v>1303</v>
      </c>
      <c r="H92" s="7">
        <v>7</v>
      </c>
      <c r="I92" s="7">
        <v>12</v>
      </c>
      <c r="J92" s="7" t="s">
        <v>30</v>
      </c>
      <c r="K92" s="9" t="s">
        <v>39</v>
      </c>
      <c r="L92" s="19">
        <v>-0.5</v>
      </c>
      <c r="M92">
        <v>-0.5</v>
      </c>
      <c r="AA92">
        <v>1</v>
      </c>
      <c r="AD92" s="6"/>
      <c r="AE92" s="6"/>
      <c r="AF92" t="s">
        <v>174</v>
      </c>
      <c r="AG92" t="s">
        <v>175</v>
      </c>
    </row>
    <row r="93" spans="1:34" x14ac:dyDescent="0.25">
      <c r="A93" s="3" t="s">
        <v>159</v>
      </c>
      <c r="C93" s="3">
        <v>0</v>
      </c>
      <c r="D93" s="4">
        <v>41891</v>
      </c>
      <c r="E93" s="5">
        <v>43194</v>
      </c>
      <c r="F93" s="25" t="str">
        <f t="shared" si="2"/>
        <v>42 : 26</v>
      </c>
      <c r="G93">
        <f t="shared" si="3"/>
        <v>1303</v>
      </c>
      <c r="H93" s="7">
        <v>7</v>
      </c>
      <c r="I93" s="7">
        <v>11</v>
      </c>
      <c r="J93" s="7" t="s">
        <v>40</v>
      </c>
      <c r="K93" s="9" t="s">
        <v>40</v>
      </c>
      <c r="L93" s="19">
        <v>0.5</v>
      </c>
      <c r="M93">
        <v>0.5</v>
      </c>
      <c r="AA93">
        <v>1</v>
      </c>
      <c r="AF93" t="s">
        <v>176</v>
      </c>
      <c r="AG93" t="s">
        <v>177</v>
      </c>
    </row>
    <row r="94" spans="1:34" x14ac:dyDescent="0.25">
      <c r="A94" s="3" t="s">
        <v>159</v>
      </c>
      <c r="C94" s="3">
        <v>0</v>
      </c>
      <c r="D94" s="4">
        <v>41891</v>
      </c>
      <c r="E94" s="5">
        <v>43194</v>
      </c>
      <c r="F94" s="25" t="str">
        <f t="shared" si="2"/>
        <v>42 : 26</v>
      </c>
      <c r="G94">
        <f t="shared" si="3"/>
        <v>1303</v>
      </c>
      <c r="H94" s="7">
        <v>7</v>
      </c>
      <c r="I94" s="7">
        <v>10</v>
      </c>
      <c r="J94" s="7" t="s">
        <v>33</v>
      </c>
      <c r="K94" s="9" t="s">
        <v>33</v>
      </c>
      <c r="L94" s="19">
        <v>-0.5</v>
      </c>
      <c r="M94">
        <v>0.5</v>
      </c>
      <c r="AA94">
        <v>1</v>
      </c>
      <c r="AF94" t="s">
        <v>178</v>
      </c>
      <c r="AG94" t="s">
        <v>173</v>
      </c>
    </row>
    <row r="95" spans="1:34" x14ac:dyDescent="0.25">
      <c r="A95" s="3" t="s">
        <v>159</v>
      </c>
      <c r="C95" s="3">
        <v>0</v>
      </c>
      <c r="D95" s="4">
        <v>41891</v>
      </c>
      <c r="E95" s="5">
        <v>43194</v>
      </c>
      <c r="F95" s="25" t="str">
        <f t="shared" si="2"/>
        <v>42 : 26</v>
      </c>
      <c r="G95">
        <f t="shared" si="3"/>
        <v>1303</v>
      </c>
      <c r="H95" s="7">
        <v>7</v>
      </c>
      <c r="I95" s="7">
        <v>9</v>
      </c>
      <c r="J95" s="9" t="s">
        <v>40</v>
      </c>
      <c r="K95" s="9" t="s">
        <v>30</v>
      </c>
      <c r="L95" s="20">
        <v>-0.5</v>
      </c>
      <c r="M95" s="14">
        <v>-0.5</v>
      </c>
      <c r="N95" s="14"/>
      <c r="O95" s="14"/>
      <c r="P95" s="14"/>
      <c r="AA95">
        <v>1</v>
      </c>
      <c r="AD95" s="14"/>
      <c r="AF95" t="s">
        <v>179</v>
      </c>
      <c r="AG95" t="s">
        <v>180</v>
      </c>
    </row>
    <row r="96" spans="1:34" x14ac:dyDescent="0.25">
      <c r="A96" s="3" t="s">
        <v>159</v>
      </c>
      <c r="C96" s="3">
        <v>0</v>
      </c>
      <c r="D96" s="4">
        <v>41891</v>
      </c>
      <c r="E96" s="5">
        <v>43194</v>
      </c>
      <c r="F96" s="25" t="str">
        <f t="shared" si="2"/>
        <v>42 : 26</v>
      </c>
      <c r="G96">
        <f t="shared" si="3"/>
        <v>1303</v>
      </c>
      <c r="H96" s="7">
        <v>7</v>
      </c>
      <c r="I96" s="7">
        <v>8</v>
      </c>
      <c r="J96" s="7" t="s">
        <v>35</v>
      </c>
      <c r="K96" s="9" t="s">
        <v>32</v>
      </c>
      <c r="L96" s="19">
        <v>0.5</v>
      </c>
      <c r="M96">
        <v>-0.5</v>
      </c>
      <c r="AA96">
        <v>1</v>
      </c>
      <c r="AF96" t="s">
        <v>181</v>
      </c>
      <c r="AG96" t="s">
        <v>182</v>
      </c>
      <c r="AH96" t="s">
        <v>166</v>
      </c>
    </row>
    <row r="97" spans="1:34" x14ac:dyDescent="0.25">
      <c r="A97" s="3" t="s">
        <v>159</v>
      </c>
      <c r="C97" s="3">
        <v>0</v>
      </c>
      <c r="D97" s="4">
        <v>41891</v>
      </c>
      <c r="E97" s="5">
        <v>43194</v>
      </c>
      <c r="F97" s="25" t="str">
        <f t="shared" si="2"/>
        <v>42 : 26</v>
      </c>
      <c r="G97">
        <f t="shared" si="3"/>
        <v>1303</v>
      </c>
      <c r="H97" s="7">
        <v>7</v>
      </c>
      <c r="I97" s="7">
        <v>7</v>
      </c>
      <c r="J97" s="7" t="s">
        <v>39</v>
      </c>
      <c r="K97" s="9" t="s">
        <v>39</v>
      </c>
      <c r="L97" s="19">
        <v>0.5</v>
      </c>
      <c r="M97">
        <v>0.5</v>
      </c>
      <c r="AA97">
        <v>1</v>
      </c>
      <c r="AF97" t="s">
        <v>183</v>
      </c>
      <c r="AG97" t="s">
        <v>184</v>
      </c>
      <c r="AH97" t="s">
        <v>185</v>
      </c>
    </row>
    <row r="98" spans="1:34" s="14" customFormat="1" x14ac:dyDescent="0.25">
      <c r="A98" s="10" t="s">
        <v>186</v>
      </c>
      <c r="B98" s="10"/>
      <c r="C98" s="10">
        <v>1</v>
      </c>
      <c r="D98" s="11">
        <v>41898</v>
      </c>
      <c r="E98" s="12">
        <v>43201</v>
      </c>
      <c r="F98" s="26" t="str">
        <f t="shared" si="2"/>
        <v>42 : 26</v>
      </c>
      <c r="G98" s="14">
        <f t="shared" si="3"/>
        <v>1303</v>
      </c>
      <c r="H98" s="9">
        <v>1</v>
      </c>
      <c r="I98" s="9">
        <v>1</v>
      </c>
      <c r="J98" s="9" t="s">
        <v>30</v>
      </c>
      <c r="K98" s="9" t="s">
        <v>30</v>
      </c>
      <c r="L98" s="15">
        <v>-0.5</v>
      </c>
      <c r="M98" s="14">
        <v>0.5</v>
      </c>
      <c r="AD98" s="14">
        <v>0</v>
      </c>
      <c r="AE98" s="14">
        <v>1</v>
      </c>
      <c r="AG98" s="14" t="s">
        <v>31</v>
      </c>
    </row>
    <row r="99" spans="1:34" s="14" customFormat="1" x14ac:dyDescent="0.25">
      <c r="A99" s="10" t="s">
        <v>186</v>
      </c>
      <c r="B99" s="10"/>
      <c r="C99" s="10">
        <v>1</v>
      </c>
      <c r="D99" s="11">
        <v>41898</v>
      </c>
      <c r="E99" s="12">
        <v>43201</v>
      </c>
      <c r="F99" s="26" t="str">
        <f t="shared" si="2"/>
        <v>42 : 26</v>
      </c>
      <c r="G99" s="14">
        <f t="shared" si="3"/>
        <v>1303</v>
      </c>
      <c r="H99" s="9">
        <v>1</v>
      </c>
      <c r="I99" s="9">
        <v>2</v>
      </c>
      <c r="J99" s="9" t="s">
        <v>32</v>
      </c>
      <c r="K99" s="9" t="s">
        <v>33</v>
      </c>
      <c r="L99" s="15">
        <v>-0.5</v>
      </c>
      <c r="M99" s="14">
        <v>-0.5</v>
      </c>
      <c r="Y99" s="14">
        <v>1</v>
      </c>
      <c r="AA99" s="14">
        <v>1</v>
      </c>
      <c r="AC99" s="14">
        <v>1</v>
      </c>
      <c r="AF99" s="14" t="s">
        <v>187</v>
      </c>
      <c r="AG99" s="14" t="s">
        <v>188</v>
      </c>
    </row>
    <row r="100" spans="1:34" s="14" customFormat="1" x14ac:dyDescent="0.25">
      <c r="A100" s="10" t="s">
        <v>186</v>
      </c>
      <c r="B100" s="10"/>
      <c r="C100" s="10">
        <v>1</v>
      </c>
      <c r="D100" s="11">
        <v>41898</v>
      </c>
      <c r="E100" s="12">
        <v>43201</v>
      </c>
      <c r="F100" s="26" t="str">
        <f t="shared" si="2"/>
        <v>42 : 26</v>
      </c>
      <c r="G100" s="14">
        <f t="shared" si="3"/>
        <v>1303</v>
      </c>
      <c r="H100" s="9">
        <v>1</v>
      </c>
      <c r="I100" s="9">
        <v>3</v>
      </c>
      <c r="J100" s="9" t="s">
        <v>35</v>
      </c>
      <c r="K100" s="9" t="s">
        <v>35</v>
      </c>
      <c r="L100" s="15">
        <v>0.5</v>
      </c>
      <c r="M100" s="14">
        <v>0.5</v>
      </c>
      <c r="S100" s="14">
        <v>0</v>
      </c>
      <c r="AD100" s="14">
        <v>0</v>
      </c>
      <c r="AE100" s="14">
        <v>0</v>
      </c>
      <c r="AF100" s="14" t="s">
        <v>189</v>
      </c>
      <c r="AG100" s="14" t="s">
        <v>36</v>
      </c>
    </row>
    <row r="101" spans="1:34" s="14" customFormat="1" x14ac:dyDescent="0.25">
      <c r="A101" s="10" t="s">
        <v>186</v>
      </c>
      <c r="B101" s="10"/>
      <c r="C101" s="10">
        <v>1</v>
      </c>
      <c r="D101" s="11">
        <v>41898</v>
      </c>
      <c r="E101" s="12">
        <v>43201</v>
      </c>
      <c r="F101" s="26" t="str">
        <f t="shared" si="2"/>
        <v>42 : 26</v>
      </c>
      <c r="G101" s="14">
        <f t="shared" si="3"/>
        <v>1303</v>
      </c>
      <c r="H101" s="9">
        <v>1</v>
      </c>
      <c r="I101" s="9">
        <v>4</v>
      </c>
      <c r="J101" s="9" t="s">
        <v>32</v>
      </c>
      <c r="K101" s="9" t="s">
        <v>32</v>
      </c>
      <c r="L101" s="15">
        <v>0.5</v>
      </c>
      <c r="M101" s="14">
        <v>0.5</v>
      </c>
      <c r="AD101" s="14">
        <v>0</v>
      </c>
      <c r="AE101" s="14">
        <v>0</v>
      </c>
      <c r="AG101" s="14" t="s">
        <v>190</v>
      </c>
    </row>
    <row r="102" spans="1:34" s="14" customFormat="1" x14ac:dyDescent="0.25">
      <c r="A102" s="10" t="s">
        <v>186</v>
      </c>
      <c r="B102" s="10"/>
      <c r="C102" s="10">
        <v>1</v>
      </c>
      <c r="D102" s="11">
        <v>41898</v>
      </c>
      <c r="E102" s="12">
        <v>43201</v>
      </c>
      <c r="F102" s="26" t="str">
        <f t="shared" si="2"/>
        <v>42 : 26</v>
      </c>
      <c r="G102" s="14">
        <f t="shared" si="3"/>
        <v>1303</v>
      </c>
      <c r="H102" s="9">
        <v>1</v>
      </c>
      <c r="I102" s="9">
        <v>5</v>
      </c>
      <c r="J102" s="9" t="s">
        <v>33</v>
      </c>
      <c r="K102" s="9" t="s">
        <v>35</v>
      </c>
      <c r="L102" s="15">
        <v>-0.5</v>
      </c>
      <c r="M102" s="14">
        <v>-0.5</v>
      </c>
      <c r="S102" s="14">
        <v>0</v>
      </c>
      <c r="AA102" s="14">
        <v>1</v>
      </c>
      <c r="AF102" s="14" t="s">
        <v>191</v>
      </c>
      <c r="AG102" s="14" t="s">
        <v>163</v>
      </c>
    </row>
    <row r="103" spans="1:34" s="14" customFormat="1" x14ac:dyDescent="0.25">
      <c r="A103" s="10" t="s">
        <v>186</v>
      </c>
      <c r="B103" s="10"/>
      <c r="C103" s="10">
        <v>1</v>
      </c>
      <c r="D103" s="11">
        <v>41898</v>
      </c>
      <c r="E103" s="12">
        <v>43201</v>
      </c>
      <c r="F103" s="26" t="str">
        <f t="shared" si="2"/>
        <v>42 : 26</v>
      </c>
      <c r="G103" s="14">
        <f t="shared" si="3"/>
        <v>1303</v>
      </c>
      <c r="H103" s="9">
        <v>1</v>
      </c>
      <c r="I103" s="9">
        <v>6</v>
      </c>
      <c r="J103" s="9" t="s">
        <v>39</v>
      </c>
      <c r="K103" s="9" t="s">
        <v>40</v>
      </c>
      <c r="L103" s="15">
        <v>0.5</v>
      </c>
      <c r="M103" s="14">
        <v>-0.5</v>
      </c>
      <c r="AA103" s="14">
        <v>1</v>
      </c>
      <c r="AF103" s="14" t="s">
        <v>192</v>
      </c>
      <c r="AG103" s="14" t="s">
        <v>193</v>
      </c>
    </row>
    <row r="104" spans="1:34" s="14" customFormat="1" x14ac:dyDescent="0.25">
      <c r="A104" s="10" t="s">
        <v>186</v>
      </c>
      <c r="B104" s="10"/>
      <c r="C104" s="10">
        <v>1</v>
      </c>
      <c r="D104" s="11">
        <v>41898</v>
      </c>
      <c r="E104" s="12">
        <v>43201</v>
      </c>
      <c r="F104" s="26" t="str">
        <f t="shared" si="2"/>
        <v>42 : 26</v>
      </c>
      <c r="G104" s="14">
        <f t="shared" si="3"/>
        <v>1303</v>
      </c>
      <c r="H104" s="9">
        <v>1</v>
      </c>
      <c r="I104" s="9">
        <v>7</v>
      </c>
      <c r="J104" s="9" t="s">
        <v>39</v>
      </c>
      <c r="K104" s="9" t="s">
        <v>39</v>
      </c>
      <c r="L104" s="15">
        <v>-0.5</v>
      </c>
      <c r="M104" s="14">
        <v>0.5</v>
      </c>
      <c r="AD104" s="14">
        <v>1</v>
      </c>
      <c r="AE104" s="14">
        <v>0</v>
      </c>
      <c r="AG104" s="14" t="s">
        <v>194</v>
      </c>
    </row>
    <row r="105" spans="1:34" s="14" customFormat="1" x14ac:dyDescent="0.25">
      <c r="A105" s="10" t="s">
        <v>186</v>
      </c>
      <c r="B105" s="10"/>
      <c r="C105" s="10">
        <v>1</v>
      </c>
      <c r="D105" s="11">
        <v>41898</v>
      </c>
      <c r="E105" s="12">
        <v>43201</v>
      </c>
      <c r="F105" s="26" t="str">
        <f t="shared" si="2"/>
        <v>42 : 26</v>
      </c>
      <c r="G105" s="14">
        <f t="shared" si="3"/>
        <v>1303</v>
      </c>
      <c r="H105" s="9">
        <v>1</v>
      </c>
      <c r="I105" s="9">
        <v>8</v>
      </c>
      <c r="J105" s="9" t="s">
        <v>35</v>
      </c>
      <c r="K105" s="9" t="s">
        <v>32</v>
      </c>
      <c r="L105" s="15">
        <v>-0.5</v>
      </c>
      <c r="M105" s="14">
        <v>-0.5</v>
      </c>
      <c r="S105" s="14">
        <v>0</v>
      </c>
      <c r="AD105" s="14">
        <v>0</v>
      </c>
      <c r="AE105" s="14">
        <v>1</v>
      </c>
      <c r="AF105" s="14" t="s">
        <v>195</v>
      </c>
      <c r="AG105" s="14" t="s">
        <v>196</v>
      </c>
    </row>
    <row r="106" spans="1:34" s="14" customFormat="1" x14ac:dyDescent="0.25">
      <c r="A106" s="10" t="s">
        <v>186</v>
      </c>
      <c r="B106" s="10"/>
      <c r="C106" s="10">
        <v>1</v>
      </c>
      <c r="D106" s="11">
        <v>41898</v>
      </c>
      <c r="E106" s="12">
        <v>43201</v>
      </c>
      <c r="F106" s="26" t="str">
        <f t="shared" si="2"/>
        <v>42 : 26</v>
      </c>
      <c r="G106" s="14">
        <f t="shared" si="3"/>
        <v>1303</v>
      </c>
      <c r="H106" s="9">
        <v>1</v>
      </c>
      <c r="I106" s="9">
        <v>9</v>
      </c>
      <c r="J106" s="9" t="s">
        <v>40</v>
      </c>
      <c r="K106" s="9" t="s">
        <v>30</v>
      </c>
      <c r="L106" s="15">
        <v>0.5</v>
      </c>
      <c r="M106" s="14">
        <v>-0.5</v>
      </c>
      <c r="AD106" s="14">
        <v>0</v>
      </c>
      <c r="AE106" s="14">
        <v>0</v>
      </c>
      <c r="AG106" s="14" t="s">
        <v>90</v>
      </c>
    </row>
    <row r="107" spans="1:34" s="14" customFormat="1" x14ac:dyDescent="0.25">
      <c r="A107" s="10" t="s">
        <v>186</v>
      </c>
      <c r="B107" s="10"/>
      <c r="C107" s="10">
        <v>1</v>
      </c>
      <c r="D107" s="11">
        <v>41898</v>
      </c>
      <c r="E107" s="12">
        <v>43201</v>
      </c>
      <c r="F107" s="26" t="str">
        <f t="shared" si="2"/>
        <v>42 : 26</v>
      </c>
      <c r="G107" s="14">
        <f t="shared" si="3"/>
        <v>1303</v>
      </c>
      <c r="H107" s="9">
        <v>1</v>
      </c>
      <c r="I107" s="9">
        <v>10</v>
      </c>
      <c r="J107" s="9" t="s">
        <v>33</v>
      </c>
      <c r="K107" s="9" t="s">
        <v>33</v>
      </c>
      <c r="L107" s="15">
        <v>0.5</v>
      </c>
      <c r="M107" s="14">
        <v>0.5</v>
      </c>
      <c r="V107" s="14" t="s">
        <v>197</v>
      </c>
      <c r="W107" s="14">
        <v>1</v>
      </c>
      <c r="AD107" s="14">
        <v>0</v>
      </c>
      <c r="AE107" s="14">
        <v>0</v>
      </c>
      <c r="AG107" s="14" t="s">
        <v>198</v>
      </c>
    </row>
    <row r="108" spans="1:34" s="14" customFormat="1" x14ac:dyDescent="0.25">
      <c r="A108" s="10" t="s">
        <v>186</v>
      </c>
      <c r="B108" s="10"/>
      <c r="C108" s="10">
        <v>1</v>
      </c>
      <c r="D108" s="11">
        <v>41898</v>
      </c>
      <c r="E108" s="12">
        <v>43201</v>
      </c>
      <c r="F108" s="26" t="str">
        <f t="shared" si="2"/>
        <v>42 : 26</v>
      </c>
      <c r="G108" s="14">
        <f t="shared" si="3"/>
        <v>1303</v>
      </c>
      <c r="H108" s="9">
        <v>1</v>
      </c>
      <c r="I108" s="9">
        <v>11</v>
      </c>
      <c r="J108" s="9" t="s">
        <v>40</v>
      </c>
      <c r="K108" s="9" t="s">
        <v>40</v>
      </c>
      <c r="L108" s="15">
        <v>-0.5</v>
      </c>
      <c r="M108" s="14">
        <v>0.5</v>
      </c>
      <c r="AD108" s="14">
        <v>0</v>
      </c>
      <c r="AE108" s="14">
        <v>1</v>
      </c>
      <c r="AF108" s="14" t="s">
        <v>199</v>
      </c>
      <c r="AG108" s="14" t="s">
        <v>200</v>
      </c>
    </row>
    <row r="109" spans="1:34" s="14" customFormat="1" x14ac:dyDescent="0.25">
      <c r="A109" s="10" t="s">
        <v>186</v>
      </c>
      <c r="B109" s="10"/>
      <c r="C109" s="10">
        <v>1</v>
      </c>
      <c r="D109" s="11">
        <v>41898</v>
      </c>
      <c r="E109" s="12">
        <v>43201</v>
      </c>
      <c r="F109" s="26" t="str">
        <f t="shared" si="2"/>
        <v>42 : 26</v>
      </c>
      <c r="G109" s="14">
        <f t="shared" si="3"/>
        <v>1303</v>
      </c>
      <c r="H109" s="9">
        <v>1</v>
      </c>
      <c r="I109" s="9">
        <v>12</v>
      </c>
      <c r="J109" s="9" t="s">
        <v>30</v>
      </c>
      <c r="K109" s="9" t="s">
        <v>39</v>
      </c>
      <c r="L109" s="15">
        <v>0.5</v>
      </c>
      <c r="M109" s="14">
        <v>-0.5</v>
      </c>
      <c r="AD109" s="14">
        <v>0</v>
      </c>
      <c r="AE109" s="14">
        <v>0</v>
      </c>
      <c r="AG109" s="14" t="s">
        <v>201</v>
      </c>
    </row>
    <row r="110" spans="1:34" x14ac:dyDescent="0.25">
      <c r="A110" s="3" t="s">
        <v>202</v>
      </c>
      <c r="C110" s="3">
        <v>0</v>
      </c>
      <c r="D110" s="4">
        <v>41899</v>
      </c>
      <c r="E110" s="5">
        <v>43199</v>
      </c>
      <c r="F110" s="25" t="str">
        <f t="shared" si="2"/>
        <v>42 : 23</v>
      </c>
      <c r="G110">
        <f t="shared" si="3"/>
        <v>1300</v>
      </c>
      <c r="H110" s="7">
        <v>8</v>
      </c>
      <c r="I110" s="7" t="s">
        <v>143</v>
      </c>
      <c r="J110" s="7" t="s">
        <v>40</v>
      </c>
      <c r="K110" s="7" t="s">
        <v>39</v>
      </c>
      <c r="L110" s="19">
        <v>-0.5</v>
      </c>
      <c r="M110">
        <v>-0.5</v>
      </c>
      <c r="Y110">
        <v>1</v>
      </c>
      <c r="AD110" s="14">
        <v>0</v>
      </c>
      <c r="AE110" s="14">
        <v>1</v>
      </c>
      <c r="AF110" t="s">
        <v>203</v>
      </c>
      <c r="AH110" t="s">
        <v>204</v>
      </c>
    </row>
    <row r="111" spans="1:34" x14ac:dyDescent="0.25">
      <c r="A111" s="3" t="s">
        <v>202</v>
      </c>
      <c r="C111" s="3">
        <v>0</v>
      </c>
      <c r="D111" s="4">
        <v>41899</v>
      </c>
      <c r="E111" s="5">
        <v>43199</v>
      </c>
      <c r="F111" s="25" t="str">
        <f t="shared" si="2"/>
        <v>42 : 23</v>
      </c>
      <c r="G111">
        <f t="shared" si="3"/>
        <v>1300</v>
      </c>
      <c r="H111" s="7">
        <v>8</v>
      </c>
      <c r="I111" s="7" t="s">
        <v>145</v>
      </c>
      <c r="J111" s="7" t="s">
        <v>35</v>
      </c>
      <c r="K111" s="7" t="s">
        <v>33</v>
      </c>
      <c r="L111" s="19">
        <v>0.5</v>
      </c>
      <c r="M111">
        <v>-0.5</v>
      </c>
      <c r="S111">
        <v>0</v>
      </c>
      <c r="V111" t="s">
        <v>197</v>
      </c>
      <c r="W111">
        <v>1</v>
      </c>
      <c r="AD111" s="14">
        <v>0</v>
      </c>
      <c r="AE111" s="14">
        <v>0</v>
      </c>
      <c r="AF111" t="s">
        <v>205</v>
      </c>
      <c r="AG111" t="s">
        <v>206</v>
      </c>
    </row>
    <row r="112" spans="1:34" x14ac:dyDescent="0.25">
      <c r="A112" s="3" t="s">
        <v>202</v>
      </c>
      <c r="C112" s="3">
        <v>0</v>
      </c>
      <c r="D112" s="4">
        <v>41899</v>
      </c>
      <c r="E112" s="5">
        <v>43199</v>
      </c>
      <c r="F112" s="25" t="str">
        <f t="shared" si="2"/>
        <v>42 : 23</v>
      </c>
      <c r="G112">
        <f t="shared" si="3"/>
        <v>1300</v>
      </c>
      <c r="H112" s="7">
        <v>8</v>
      </c>
      <c r="I112" s="7" t="s">
        <v>146</v>
      </c>
      <c r="J112" s="7" t="s">
        <v>32</v>
      </c>
      <c r="K112" s="7" t="s">
        <v>32</v>
      </c>
      <c r="L112" s="19">
        <v>-0.5</v>
      </c>
      <c r="M112">
        <v>0.5</v>
      </c>
      <c r="AD112" s="14">
        <v>0</v>
      </c>
      <c r="AE112" s="14">
        <v>1</v>
      </c>
      <c r="AG112" t="s">
        <v>50</v>
      </c>
    </row>
    <row r="113" spans="1:34" x14ac:dyDescent="0.25">
      <c r="A113" s="3" t="s">
        <v>202</v>
      </c>
      <c r="C113" s="3">
        <v>0</v>
      </c>
      <c r="D113" s="4">
        <v>41899</v>
      </c>
      <c r="E113" s="5">
        <v>43199</v>
      </c>
      <c r="F113" s="25" t="str">
        <f t="shared" si="2"/>
        <v>42 : 23</v>
      </c>
      <c r="G113">
        <f t="shared" si="3"/>
        <v>1300</v>
      </c>
      <c r="H113" s="7">
        <v>8</v>
      </c>
      <c r="I113" s="7" t="s">
        <v>147</v>
      </c>
      <c r="J113" s="7" t="s">
        <v>35</v>
      </c>
      <c r="K113" s="7" t="s">
        <v>35</v>
      </c>
      <c r="L113" s="19">
        <v>-0.5</v>
      </c>
      <c r="M113">
        <v>0.5</v>
      </c>
      <c r="AD113" s="14">
        <v>0</v>
      </c>
      <c r="AE113" s="14">
        <v>1</v>
      </c>
      <c r="AG113" t="s">
        <v>207</v>
      </c>
    </row>
    <row r="114" spans="1:34" x14ac:dyDescent="0.25">
      <c r="A114" s="3" t="s">
        <v>202</v>
      </c>
      <c r="C114" s="3">
        <v>0</v>
      </c>
      <c r="D114" s="4">
        <v>41899</v>
      </c>
      <c r="E114" s="5">
        <v>43199</v>
      </c>
      <c r="F114" s="25" t="str">
        <f t="shared" si="2"/>
        <v>42 : 23</v>
      </c>
      <c r="G114">
        <f t="shared" si="3"/>
        <v>1300</v>
      </c>
      <c r="H114" s="7">
        <v>8</v>
      </c>
      <c r="I114" s="7" t="s">
        <v>148</v>
      </c>
      <c r="J114" s="7" t="s">
        <v>33</v>
      </c>
      <c r="K114" s="7" t="s">
        <v>32</v>
      </c>
      <c r="L114" s="19">
        <v>0.5</v>
      </c>
      <c r="M114">
        <v>-0.5</v>
      </c>
      <c r="S114">
        <v>0</v>
      </c>
      <c r="AD114" s="14">
        <v>0</v>
      </c>
      <c r="AE114" s="14">
        <v>0</v>
      </c>
      <c r="AF114" t="s">
        <v>208</v>
      </c>
      <c r="AG114" t="s">
        <v>98</v>
      </c>
    </row>
    <row r="115" spans="1:34" x14ac:dyDescent="0.25">
      <c r="A115" s="3" t="s">
        <v>202</v>
      </c>
      <c r="C115" s="3">
        <v>0</v>
      </c>
      <c r="D115" s="4">
        <v>41899</v>
      </c>
      <c r="E115" s="5">
        <v>43199</v>
      </c>
      <c r="F115" s="25" t="str">
        <f t="shared" si="2"/>
        <v>42 : 23</v>
      </c>
      <c r="G115">
        <f t="shared" si="3"/>
        <v>1300</v>
      </c>
      <c r="H115" s="7">
        <v>8</v>
      </c>
      <c r="I115" s="7" t="s">
        <v>152</v>
      </c>
      <c r="J115" s="7" t="s">
        <v>30</v>
      </c>
      <c r="K115" s="7" t="s">
        <v>30</v>
      </c>
      <c r="L115" s="19">
        <v>0.5</v>
      </c>
      <c r="M115">
        <v>0.5</v>
      </c>
      <c r="AD115" s="14">
        <v>1</v>
      </c>
      <c r="AE115" s="14">
        <v>1</v>
      </c>
      <c r="AG115" t="s">
        <v>209</v>
      </c>
    </row>
    <row r="116" spans="1:34" x14ac:dyDescent="0.25">
      <c r="A116" s="3" t="s">
        <v>202</v>
      </c>
      <c r="C116" s="3">
        <v>0</v>
      </c>
      <c r="D116" s="4">
        <v>41899</v>
      </c>
      <c r="E116" s="5">
        <v>43199</v>
      </c>
      <c r="F116" s="25" t="str">
        <f t="shared" si="2"/>
        <v>42 : 23</v>
      </c>
      <c r="G116">
        <f t="shared" si="3"/>
        <v>1300</v>
      </c>
      <c r="H116" s="7">
        <v>8</v>
      </c>
      <c r="I116" s="7" t="s">
        <v>153</v>
      </c>
      <c r="J116" s="7" t="s">
        <v>39</v>
      </c>
      <c r="K116" s="9" t="s">
        <v>39</v>
      </c>
      <c r="L116" s="19">
        <v>-0.5</v>
      </c>
      <c r="M116" s="9">
        <v>0.5</v>
      </c>
      <c r="N116" s="9"/>
      <c r="O116" s="9">
        <v>1</v>
      </c>
      <c r="P116" s="9"/>
      <c r="AD116" s="14">
        <v>0</v>
      </c>
      <c r="AE116" s="14">
        <v>1</v>
      </c>
      <c r="AF116" t="s">
        <v>210</v>
      </c>
      <c r="AG116" t="s">
        <v>211</v>
      </c>
    </row>
    <row r="117" spans="1:34" x14ac:dyDescent="0.25">
      <c r="A117" s="3" t="s">
        <v>202</v>
      </c>
      <c r="C117" s="3">
        <v>0</v>
      </c>
      <c r="D117" s="4">
        <v>41899</v>
      </c>
      <c r="E117" s="5">
        <v>43199</v>
      </c>
      <c r="F117" s="25" t="str">
        <f t="shared" si="2"/>
        <v>42 : 23</v>
      </c>
      <c r="G117">
        <f t="shared" si="3"/>
        <v>1300</v>
      </c>
      <c r="H117" s="7">
        <v>8</v>
      </c>
      <c r="I117" s="7" t="s">
        <v>154</v>
      </c>
      <c r="J117" s="7" t="s">
        <v>40</v>
      </c>
      <c r="K117" s="7" t="s">
        <v>40</v>
      </c>
      <c r="L117" s="19">
        <v>0.5</v>
      </c>
      <c r="M117">
        <v>0.5</v>
      </c>
      <c r="R117">
        <v>1</v>
      </c>
      <c r="S117">
        <v>1</v>
      </c>
      <c r="Y117">
        <v>1</v>
      </c>
      <c r="AD117" s="14">
        <v>0</v>
      </c>
      <c r="AE117" s="14">
        <v>0</v>
      </c>
      <c r="AF117" t="s">
        <v>212</v>
      </c>
      <c r="AG117" t="s">
        <v>213</v>
      </c>
    </row>
    <row r="118" spans="1:34" x14ac:dyDescent="0.25">
      <c r="A118" s="3" t="s">
        <v>202</v>
      </c>
      <c r="C118" s="3">
        <v>0</v>
      </c>
      <c r="D118" s="4">
        <v>41899</v>
      </c>
      <c r="E118" s="5">
        <v>43199</v>
      </c>
      <c r="F118" s="25" t="str">
        <f t="shared" ref="F118:F181" si="4">DATEDIF(D118,E118,"M")&amp;" : "&amp;DATEDIF(D118,E118,"MD")</f>
        <v>42 : 23</v>
      </c>
      <c r="G118">
        <f t="shared" ref="G118:G181" si="5">DATEDIF(D118,E118,"D")</f>
        <v>1300</v>
      </c>
      <c r="H118" s="7">
        <v>8</v>
      </c>
      <c r="I118" s="7" t="s">
        <v>155</v>
      </c>
      <c r="J118" s="7" t="s">
        <v>33</v>
      </c>
      <c r="K118" s="7" t="s">
        <v>33</v>
      </c>
      <c r="L118" s="19">
        <v>-0.5</v>
      </c>
      <c r="M118">
        <v>0.5</v>
      </c>
      <c r="AD118" s="14">
        <v>0</v>
      </c>
      <c r="AE118" s="14">
        <v>1</v>
      </c>
      <c r="AG118" t="s">
        <v>214</v>
      </c>
      <c r="AH118" t="s">
        <v>215</v>
      </c>
    </row>
    <row r="119" spans="1:34" x14ac:dyDescent="0.25">
      <c r="A119" s="3" t="s">
        <v>202</v>
      </c>
      <c r="C119" s="3">
        <v>0</v>
      </c>
      <c r="D119" s="4">
        <v>41899</v>
      </c>
      <c r="E119" s="5">
        <v>43199</v>
      </c>
      <c r="F119" s="25" t="str">
        <f t="shared" si="4"/>
        <v>42 : 23</v>
      </c>
      <c r="G119">
        <f t="shared" si="5"/>
        <v>1300</v>
      </c>
      <c r="H119" s="7">
        <v>8</v>
      </c>
      <c r="I119" s="7" t="s">
        <v>156</v>
      </c>
      <c r="J119" s="7" t="s">
        <v>30</v>
      </c>
      <c r="K119" s="7" t="s">
        <v>40</v>
      </c>
      <c r="L119" s="19">
        <v>-0.5</v>
      </c>
      <c r="M119">
        <v>-0.5</v>
      </c>
      <c r="AD119" s="14">
        <v>0</v>
      </c>
      <c r="AE119" s="14">
        <v>1</v>
      </c>
      <c r="AG119" t="s">
        <v>216</v>
      </c>
    </row>
    <row r="120" spans="1:34" x14ac:dyDescent="0.25">
      <c r="A120" s="3" t="s">
        <v>202</v>
      </c>
      <c r="C120" s="3">
        <v>0</v>
      </c>
      <c r="D120" s="4">
        <v>41899</v>
      </c>
      <c r="E120" s="5">
        <v>43199</v>
      </c>
      <c r="F120" s="25" t="str">
        <f t="shared" si="4"/>
        <v>42 : 23</v>
      </c>
      <c r="G120">
        <f t="shared" si="5"/>
        <v>1300</v>
      </c>
      <c r="H120" s="7">
        <v>8</v>
      </c>
      <c r="I120" s="7" t="s">
        <v>157</v>
      </c>
      <c r="J120" s="7" t="s">
        <v>32</v>
      </c>
      <c r="K120" s="7" t="s">
        <v>35</v>
      </c>
      <c r="L120" s="19">
        <v>0.5</v>
      </c>
      <c r="M120">
        <v>-0.5</v>
      </c>
      <c r="AD120" s="14">
        <v>0</v>
      </c>
      <c r="AE120" s="14">
        <v>0</v>
      </c>
      <c r="AG120" t="s">
        <v>217</v>
      </c>
    </row>
    <row r="121" spans="1:34" x14ac:dyDescent="0.25">
      <c r="A121" s="3" t="s">
        <v>202</v>
      </c>
      <c r="C121" s="3">
        <v>0</v>
      </c>
      <c r="D121" s="4">
        <v>41899</v>
      </c>
      <c r="E121" s="5">
        <v>43199</v>
      </c>
      <c r="F121" s="25" t="str">
        <f t="shared" si="4"/>
        <v>42 : 23</v>
      </c>
      <c r="G121">
        <f t="shared" si="5"/>
        <v>1300</v>
      </c>
      <c r="H121" s="7">
        <v>8</v>
      </c>
      <c r="I121" s="7" t="s">
        <v>158</v>
      </c>
      <c r="J121" s="7" t="s">
        <v>39</v>
      </c>
      <c r="K121" s="7" t="s">
        <v>39</v>
      </c>
      <c r="L121" s="19">
        <v>0.5</v>
      </c>
      <c r="M121">
        <v>0.5</v>
      </c>
      <c r="AD121" s="14">
        <v>0</v>
      </c>
      <c r="AE121" s="14">
        <v>0</v>
      </c>
      <c r="AG121" t="s">
        <v>218</v>
      </c>
    </row>
    <row r="122" spans="1:34" x14ac:dyDescent="0.25">
      <c r="A122" s="10" t="s">
        <v>219</v>
      </c>
      <c r="B122" s="10"/>
      <c r="C122" s="10">
        <v>0</v>
      </c>
      <c r="D122" s="11">
        <v>41905</v>
      </c>
      <c r="E122" s="5">
        <v>43210</v>
      </c>
      <c r="F122" s="25" t="str">
        <f t="shared" si="4"/>
        <v>42 : 28</v>
      </c>
      <c r="G122">
        <f t="shared" si="5"/>
        <v>1305</v>
      </c>
      <c r="H122" s="7">
        <v>3</v>
      </c>
      <c r="I122" s="7">
        <v>1</v>
      </c>
      <c r="J122" s="7" t="s">
        <v>30</v>
      </c>
      <c r="K122" s="7" t="s">
        <v>30</v>
      </c>
      <c r="L122" s="8">
        <v>0.5</v>
      </c>
      <c r="M122">
        <v>0.5</v>
      </c>
      <c r="S122">
        <v>0</v>
      </c>
      <c r="AA122">
        <v>1</v>
      </c>
      <c r="AF122" t="s">
        <v>220</v>
      </c>
      <c r="AG122" t="s">
        <v>173</v>
      </c>
    </row>
    <row r="123" spans="1:34" x14ac:dyDescent="0.25">
      <c r="A123" s="10" t="s">
        <v>219</v>
      </c>
      <c r="B123" s="10"/>
      <c r="C123" s="10">
        <v>0</v>
      </c>
      <c r="D123" s="11">
        <v>41905</v>
      </c>
      <c r="E123" s="5">
        <v>43210</v>
      </c>
      <c r="F123" s="25" t="str">
        <f t="shared" si="4"/>
        <v>42 : 28</v>
      </c>
      <c r="G123">
        <f t="shared" si="5"/>
        <v>1305</v>
      </c>
      <c r="H123" s="7">
        <v>3</v>
      </c>
      <c r="I123" s="7">
        <v>2</v>
      </c>
      <c r="J123" s="7" t="s">
        <v>32</v>
      </c>
      <c r="K123" s="7" t="s">
        <v>33</v>
      </c>
      <c r="L123" s="8">
        <v>0.5</v>
      </c>
      <c r="M123">
        <v>-0.5</v>
      </c>
      <c r="S123">
        <v>0</v>
      </c>
      <c r="AA123">
        <v>1</v>
      </c>
      <c r="AD123" s="6"/>
      <c r="AE123" s="6"/>
      <c r="AF123" t="s">
        <v>221</v>
      </c>
      <c r="AG123" t="s">
        <v>222</v>
      </c>
    </row>
    <row r="124" spans="1:34" x14ac:dyDescent="0.25">
      <c r="A124" s="10" t="s">
        <v>219</v>
      </c>
      <c r="B124" s="10"/>
      <c r="C124" s="10">
        <v>0</v>
      </c>
      <c r="D124" s="11">
        <v>41905</v>
      </c>
      <c r="E124" s="5">
        <v>43210</v>
      </c>
      <c r="F124" s="25" t="str">
        <f t="shared" si="4"/>
        <v>42 : 28</v>
      </c>
      <c r="G124">
        <f t="shared" si="5"/>
        <v>1305</v>
      </c>
      <c r="H124" s="7">
        <v>3</v>
      </c>
      <c r="I124" s="7">
        <v>3</v>
      </c>
      <c r="J124" s="7" t="s">
        <v>35</v>
      </c>
      <c r="K124" s="9" t="s">
        <v>35</v>
      </c>
      <c r="L124" s="8">
        <v>-0.5</v>
      </c>
      <c r="M124">
        <v>0.5</v>
      </c>
      <c r="S124">
        <v>0</v>
      </c>
      <c r="Z124">
        <v>1</v>
      </c>
      <c r="AA124">
        <v>1</v>
      </c>
      <c r="AF124" t="s">
        <v>223</v>
      </c>
      <c r="AG124" t="s">
        <v>224</v>
      </c>
      <c r="AH124" t="s">
        <v>225</v>
      </c>
    </row>
    <row r="125" spans="1:34" x14ac:dyDescent="0.25">
      <c r="A125" s="10" t="s">
        <v>219</v>
      </c>
      <c r="B125" s="10"/>
      <c r="C125" s="10">
        <v>0</v>
      </c>
      <c r="D125" s="11">
        <v>41905</v>
      </c>
      <c r="E125" s="5">
        <v>43210</v>
      </c>
      <c r="F125" s="25" t="str">
        <f t="shared" si="4"/>
        <v>42 : 28</v>
      </c>
      <c r="G125">
        <f t="shared" si="5"/>
        <v>1305</v>
      </c>
      <c r="H125" s="7">
        <v>3</v>
      </c>
      <c r="I125" s="7">
        <v>4</v>
      </c>
      <c r="J125" s="7" t="s">
        <v>32</v>
      </c>
      <c r="K125" s="9" t="s">
        <v>32</v>
      </c>
      <c r="L125" s="8">
        <v>-0.5</v>
      </c>
      <c r="M125">
        <v>0.5</v>
      </c>
      <c r="Z125">
        <v>1</v>
      </c>
      <c r="AA125">
        <v>1</v>
      </c>
      <c r="AF125" t="s">
        <v>226</v>
      </c>
      <c r="AG125" t="s">
        <v>227</v>
      </c>
      <c r="AH125" t="s">
        <v>225</v>
      </c>
    </row>
    <row r="126" spans="1:34" x14ac:dyDescent="0.25">
      <c r="A126" s="10" t="s">
        <v>219</v>
      </c>
      <c r="B126" s="10"/>
      <c r="C126" s="10">
        <v>0</v>
      </c>
      <c r="D126" s="11">
        <v>41905</v>
      </c>
      <c r="E126" s="5">
        <v>43210</v>
      </c>
      <c r="F126" s="25" t="str">
        <f t="shared" si="4"/>
        <v>42 : 28</v>
      </c>
      <c r="G126">
        <f t="shared" si="5"/>
        <v>1305</v>
      </c>
      <c r="H126" s="7">
        <v>3</v>
      </c>
      <c r="I126" s="7">
        <v>5</v>
      </c>
      <c r="J126" s="7" t="s">
        <v>33</v>
      </c>
      <c r="K126" s="9" t="s">
        <v>35</v>
      </c>
      <c r="L126" s="8">
        <v>0.5</v>
      </c>
      <c r="M126">
        <v>-0.5</v>
      </c>
      <c r="AA126">
        <v>1</v>
      </c>
      <c r="AF126" t="s">
        <v>228</v>
      </c>
      <c r="AG126" t="s">
        <v>132</v>
      </c>
      <c r="AH126" t="s">
        <v>229</v>
      </c>
    </row>
    <row r="127" spans="1:34" x14ac:dyDescent="0.25">
      <c r="A127" s="10" t="s">
        <v>219</v>
      </c>
      <c r="B127" s="10"/>
      <c r="C127" s="10">
        <v>0</v>
      </c>
      <c r="D127" s="11">
        <v>41905</v>
      </c>
      <c r="E127" s="5">
        <v>43210</v>
      </c>
      <c r="F127" s="25" t="str">
        <f t="shared" si="4"/>
        <v>42 : 28</v>
      </c>
      <c r="G127">
        <f t="shared" si="5"/>
        <v>1305</v>
      </c>
      <c r="H127" s="7">
        <v>3</v>
      </c>
      <c r="I127" s="7">
        <v>6</v>
      </c>
      <c r="J127" s="7" t="s">
        <v>39</v>
      </c>
      <c r="K127" s="9" t="s">
        <v>40</v>
      </c>
      <c r="L127" s="8">
        <v>-0.5</v>
      </c>
      <c r="M127">
        <v>-0.5</v>
      </c>
      <c r="AA127">
        <v>1</v>
      </c>
      <c r="AF127" t="s">
        <v>230</v>
      </c>
      <c r="AG127" t="s">
        <v>231</v>
      </c>
    </row>
    <row r="128" spans="1:34" x14ac:dyDescent="0.25">
      <c r="A128" s="10" t="s">
        <v>219</v>
      </c>
      <c r="B128" s="10"/>
      <c r="C128" s="10">
        <v>0</v>
      </c>
      <c r="D128" s="11">
        <v>41905</v>
      </c>
      <c r="E128" s="5">
        <v>43210</v>
      </c>
      <c r="F128" s="25" t="str">
        <f t="shared" si="4"/>
        <v>42 : 28</v>
      </c>
      <c r="G128">
        <f t="shared" si="5"/>
        <v>1305</v>
      </c>
      <c r="H128" s="7">
        <v>3</v>
      </c>
      <c r="I128" s="7">
        <v>7</v>
      </c>
      <c r="J128" s="7" t="s">
        <v>39</v>
      </c>
      <c r="K128" s="9" t="s">
        <v>39</v>
      </c>
      <c r="L128" s="8">
        <v>0.5</v>
      </c>
      <c r="M128">
        <v>0.5</v>
      </c>
      <c r="S128">
        <v>0</v>
      </c>
      <c r="Z128">
        <v>1</v>
      </c>
      <c r="AA128">
        <v>1</v>
      </c>
      <c r="AF128" t="s">
        <v>232</v>
      </c>
      <c r="AG128" t="s">
        <v>233</v>
      </c>
      <c r="AH128" t="s">
        <v>225</v>
      </c>
    </row>
    <row r="129" spans="1:34" x14ac:dyDescent="0.25">
      <c r="A129" s="10" t="s">
        <v>219</v>
      </c>
      <c r="B129" s="10"/>
      <c r="C129" s="10">
        <v>0</v>
      </c>
      <c r="D129" s="11">
        <v>41905</v>
      </c>
      <c r="E129" s="5">
        <v>43210</v>
      </c>
      <c r="F129" s="25" t="str">
        <f t="shared" si="4"/>
        <v>42 : 28</v>
      </c>
      <c r="G129">
        <f t="shared" si="5"/>
        <v>1305</v>
      </c>
      <c r="H129" s="7">
        <v>3</v>
      </c>
      <c r="I129" s="7">
        <v>8</v>
      </c>
      <c r="J129" s="7" t="s">
        <v>35</v>
      </c>
      <c r="K129" s="9" t="s">
        <v>32</v>
      </c>
      <c r="L129" s="8">
        <v>0.5</v>
      </c>
      <c r="M129">
        <v>-0.5</v>
      </c>
      <c r="AA129">
        <v>1</v>
      </c>
      <c r="AF129" t="s">
        <v>234</v>
      </c>
      <c r="AG129" t="s">
        <v>165</v>
      </c>
    </row>
    <row r="130" spans="1:34" x14ac:dyDescent="0.25">
      <c r="A130" s="10" t="s">
        <v>219</v>
      </c>
      <c r="B130" s="10"/>
      <c r="C130" s="10">
        <v>0</v>
      </c>
      <c r="D130" s="11">
        <v>41905</v>
      </c>
      <c r="E130" s="5">
        <v>43210</v>
      </c>
      <c r="F130" s="25" t="str">
        <f t="shared" si="4"/>
        <v>42 : 28</v>
      </c>
      <c r="G130">
        <f t="shared" si="5"/>
        <v>1305</v>
      </c>
      <c r="H130" s="7">
        <v>3</v>
      </c>
      <c r="I130" s="7">
        <v>9</v>
      </c>
      <c r="J130" s="7" t="s">
        <v>40</v>
      </c>
      <c r="K130" s="9" t="s">
        <v>30</v>
      </c>
      <c r="L130" s="8">
        <v>-0.5</v>
      </c>
      <c r="M130">
        <v>-0.5</v>
      </c>
      <c r="Z130">
        <v>1</v>
      </c>
      <c r="AA130">
        <v>1</v>
      </c>
      <c r="AF130" t="s">
        <v>235</v>
      </c>
      <c r="AG130" t="s">
        <v>236</v>
      </c>
      <c r="AH130" t="s">
        <v>225</v>
      </c>
    </row>
    <row r="131" spans="1:34" x14ac:dyDescent="0.25">
      <c r="A131" s="10" t="s">
        <v>219</v>
      </c>
      <c r="B131" s="10"/>
      <c r="C131" s="10">
        <v>0</v>
      </c>
      <c r="D131" s="11">
        <v>41905</v>
      </c>
      <c r="E131" s="5">
        <v>43210</v>
      </c>
      <c r="F131" s="25" t="str">
        <f t="shared" si="4"/>
        <v>42 : 28</v>
      </c>
      <c r="G131">
        <f t="shared" si="5"/>
        <v>1305</v>
      </c>
      <c r="H131" s="7">
        <v>3</v>
      </c>
      <c r="I131" s="7">
        <v>10</v>
      </c>
      <c r="J131" s="7" t="s">
        <v>33</v>
      </c>
      <c r="K131" s="9" t="s">
        <v>33</v>
      </c>
      <c r="L131" s="8">
        <v>-0.5</v>
      </c>
      <c r="M131">
        <v>0.5</v>
      </c>
      <c r="AA131">
        <v>1</v>
      </c>
      <c r="AF131" t="s">
        <v>237</v>
      </c>
      <c r="AG131" t="s">
        <v>168</v>
      </c>
    </row>
    <row r="132" spans="1:34" x14ac:dyDescent="0.25">
      <c r="A132" s="10" t="s">
        <v>219</v>
      </c>
      <c r="B132" s="10"/>
      <c r="C132" s="10">
        <v>0</v>
      </c>
      <c r="D132" s="11">
        <v>41905</v>
      </c>
      <c r="E132" s="5">
        <v>43210</v>
      </c>
      <c r="F132" s="25" t="str">
        <f t="shared" si="4"/>
        <v>42 : 28</v>
      </c>
      <c r="G132">
        <f t="shared" si="5"/>
        <v>1305</v>
      </c>
      <c r="H132" s="7">
        <v>3</v>
      </c>
      <c r="I132" s="7">
        <v>11</v>
      </c>
      <c r="J132" s="7" t="s">
        <v>40</v>
      </c>
      <c r="K132" s="9" t="s">
        <v>40</v>
      </c>
      <c r="L132" s="8">
        <v>0.5</v>
      </c>
      <c r="M132">
        <v>0.5</v>
      </c>
      <c r="AA132">
        <v>1</v>
      </c>
      <c r="AB132">
        <v>1</v>
      </c>
      <c r="AF132" t="s">
        <v>238</v>
      </c>
      <c r="AG132" t="s">
        <v>175</v>
      </c>
    </row>
    <row r="133" spans="1:34" x14ac:dyDescent="0.25">
      <c r="A133" s="10" t="s">
        <v>219</v>
      </c>
      <c r="B133" s="10"/>
      <c r="C133" s="10">
        <v>0</v>
      </c>
      <c r="D133" s="11">
        <v>41905</v>
      </c>
      <c r="E133" s="5">
        <v>43210</v>
      </c>
      <c r="F133" s="25" t="str">
        <f t="shared" si="4"/>
        <v>42 : 28</v>
      </c>
      <c r="G133">
        <f t="shared" si="5"/>
        <v>1305</v>
      </c>
      <c r="H133" s="7">
        <v>3</v>
      </c>
      <c r="I133" s="7">
        <v>12</v>
      </c>
      <c r="J133" s="7" t="s">
        <v>30</v>
      </c>
      <c r="K133" s="9" t="s">
        <v>39</v>
      </c>
      <c r="L133" s="8">
        <v>-0.5</v>
      </c>
      <c r="M133">
        <v>-0.5</v>
      </c>
      <c r="AA133">
        <v>1</v>
      </c>
      <c r="AF133" t="s">
        <v>239</v>
      </c>
      <c r="AG133" t="s">
        <v>173</v>
      </c>
    </row>
    <row r="134" spans="1:34" s="14" customFormat="1" x14ac:dyDescent="0.25">
      <c r="A134" s="10" t="s">
        <v>240</v>
      </c>
      <c r="B134" s="10"/>
      <c r="C134" s="10">
        <v>1</v>
      </c>
      <c r="D134" s="11">
        <v>41921</v>
      </c>
      <c r="E134" s="12">
        <v>43214</v>
      </c>
      <c r="F134" s="26" t="str">
        <f t="shared" si="4"/>
        <v>42 : 15</v>
      </c>
      <c r="G134" s="14">
        <f t="shared" si="5"/>
        <v>1293</v>
      </c>
      <c r="H134" s="22">
        <v>4</v>
      </c>
      <c r="I134" s="9" t="s">
        <v>97</v>
      </c>
      <c r="J134" s="9" t="s">
        <v>30</v>
      </c>
      <c r="K134" s="9" t="s">
        <v>30</v>
      </c>
      <c r="L134" s="20">
        <v>0.5</v>
      </c>
      <c r="M134" s="14">
        <v>0.5</v>
      </c>
      <c r="S134" s="14">
        <v>0</v>
      </c>
      <c r="AD134" s="14">
        <v>1</v>
      </c>
      <c r="AE134" s="14">
        <v>1</v>
      </c>
      <c r="AF134" s="14" t="s">
        <v>241</v>
      </c>
      <c r="AG134" s="14" t="s">
        <v>242</v>
      </c>
      <c r="AH134" s="14" t="s">
        <v>243</v>
      </c>
    </row>
    <row r="135" spans="1:34" s="14" customFormat="1" x14ac:dyDescent="0.25">
      <c r="A135" s="10" t="s">
        <v>240</v>
      </c>
      <c r="B135" s="10"/>
      <c r="C135" s="10">
        <v>1</v>
      </c>
      <c r="D135" s="11">
        <v>41921</v>
      </c>
      <c r="E135" s="12">
        <v>43214</v>
      </c>
      <c r="F135" s="26" t="str">
        <f t="shared" si="4"/>
        <v>42 : 15</v>
      </c>
      <c r="G135" s="14">
        <f t="shared" si="5"/>
        <v>1293</v>
      </c>
      <c r="H135" s="22">
        <v>4</v>
      </c>
      <c r="I135" s="9" t="s">
        <v>99</v>
      </c>
      <c r="J135" s="9" t="s">
        <v>33</v>
      </c>
      <c r="K135" s="9" t="s">
        <v>32</v>
      </c>
      <c r="L135" s="20">
        <v>0.5</v>
      </c>
      <c r="M135" s="14">
        <v>-0.5</v>
      </c>
      <c r="S135" s="14">
        <v>1</v>
      </c>
      <c r="AD135" s="14">
        <v>1</v>
      </c>
      <c r="AE135" s="14">
        <v>1</v>
      </c>
      <c r="AF135" s="14" t="s">
        <v>244</v>
      </c>
      <c r="AG135" s="14" t="s">
        <v>245</v>
      </c>
    </row>
    <row r="136" spans="1:34" s="14" customFormat="1" x14ac:dyDescent="0.25">
      <c r="A136" s="10" t="s">
        <v>240</v>
      </c>
      <c r="B136" s="10"/>
      <c r="C136" s="10">
        <v>1</v>
      </c>
      <c r="D136" s="11">
        <v>41921</v>
      </c>
      <c r="E136" s="12">
        <v>43214</v>
      </c>
      <c r="F136" s="26" t="str">
        <f t="shared" si="4"/>
        <v>42 : 15</v>
      </c>
      <c r="G136" s="14">
        <f t="shared" si="5"/>
        <v>1293</v>
      </c>
      <c r="H136" s="22">
        <v>4</v>
      </c>
      <c r="I136" s="9" t="s">
        <v>103</v>
      </c>
      <c r="J136" s="9" t="s">
        <v>35</v>
      </c>
      <c r="K136" s="9" t="s">
        <v>35</v>
      </c>
      <c r="L136" s="20">
        <v>-0.5</v>
      </c>
      <c r="M136" s="14">
        <v>0.5</v>
      </c>
      <c r="AD136" s="14">
        <v>0</v>
      </c>
      <c r="AE136" s="14">
        <v>1</v>
      </c>
      <c r="AG136" s="14" t="s">
        <v>246</v>
      </c>
    </row>
    <row r="137" spans="1:34" s="14" customFormat="1" x14ac:dyDescent="0.25">
      <c r="A137" s="10" t="s">
        <v>240</v>
      </c>
      <c r="B137" s="10"/>
      <c r="C137" s="10">
        <v>1</v>
      </c>
      <c r="D137" s="11">
        <v>41921</v>
      </c>
      <c r="E137" s="12">
        <v>43214</v>
      </c>
      <c r="F137" s="26" t="str">
        <f t="shared" si="4"/>
        <v>42 : 15</v>
      </c>
      <c r="G137" s="14">
        <f t="shared" si="5"/>
        <v>1293</v>
      </c>
      <c r="H137" s="22">
        <v>4</v>
      </c>
      <c r="I137" s="9" t="s">
        <v>104</v>
      </c>
      <c r="J137" s="9" t="s">
        <v>32</v>
      </c>
      <c r="K137" s="9" t="s">
        <v>32</v>
      </c>
      <c r="L137" s="20">
        <v>-0.5</v>
      </c>
      <c r="M137" s="14">
        <v>0.5</v>
      </c>
      <c r="AD137" s="14">
        <v>1</v>
      </c>
      <c r="AE137" s="14">
        <v>0</v>
      </c>
      <c r="AG137" s="14" t="s">
        <v>247</v>
      </c>
    </row>
    <row r="138" spans="1:34" s="14" customFormat="1" x14ac:dyDescent="0.25">
      <c r="A138" s="10" t="s">
        <v>240</v>
      </c>
      <c r="B138" s="10"/>
      <c r="C138" s="10">
        <v>1</v>
      </c>
      <c r="D138" s="11">
        <v>41921</v>
      </c>
      <c r="E138" s="12">
        <v>43214</v>
      </c>
      <c r="F138" s="26" t="str">
        <f t="shared" si="4"/>
        <v>42 : 15</v>
      </c>
      <c r="G138" s="14">
        <f t="shared" si="5"/>
        <v>1293</v>
      </c>
      <c r="H138" s="22">
        <v>4</v>
      </c>
      <c r="I138" s="9" t="s">
        <v>107</v>
      </c>
      <c r="J138" s="9" t="s">
        <v>35</v>
      </c>
      <c r="K138" s="9" t="s">
        <v>33</v>
      </c>
      <c r="L138" s="20">
        <v>0.5</v>
      </c>
      <c r="M138" s="14">
        <v>-0.5</v>
      </c>
      <c r="AD138" s="14">
        <v>1</v>
      </c>
      <c r="AE138" s="14">
        <v>1</v>
      </c>
      <c r="AG138" s="14" t="s">
        <v>248</v>
      </c>
    </row>
    <row r="139" spans="1:34" s="14" customFormat="1" x14ac:dyDescent="0.25">
      <c r="A139" s="10" t="s">
        <v>240</v>
      </c>
      <c r="B139" s="10"/>
      <c r="C139" s="10">
        <v>1</v>
      </c>
      <c r="D139" s="11">
        <v>41921</v>
      </c>
      <c r="E139" s="12">
        <v>43214</v>
      </c>
      <c r="F139" s="26" t="str">
        <f t="shared" si="4"/>
        <v>42 : 15</v>
      </c>
      <c r="G139" s="14">
        <f t="shared" si="5"/>
        <v>1293</v>
      </c>
      <c r="H139" s="22">
        <v>4</v>
      </c>
      <c r="I139" s="9" t="s">
        <v>110</v>
      </c>
      <c r="J139" s="9" t="s">
        <v>40</v>
      </c>
      <c r="K139" s="9" t="s">
        <v>39</v>
      </c>
      <c r="L139" s="20">
        <v>-0.5</v>
      </c>
      <c r="M139" s="14">
        <v>-0.5</v>
      </c>
      <c r="AD139" s="14">
        <v>1</v>
      </c>
      <c r="AE139" s="14">
        <v>0</v>
      </c>
      <c r="AG139" s="14" t="s">
        <v>249</v>
      </c>
    </row>
    <row r="140" spans="1:34" s="14" customFormat="1" x14ac:dyDescent="0.25">
      <c r="A140" s="10" t="s">
        <v>240</v>
      </c>
      <c r="B140" s="10"/>
      <c r="C140" s="10">
        <v>1</v>
      </c>
      <c r="D140" s="11">
        <v>41921</v>
      </c>
      <c r="E140" s="12">
        <v>43214</v>
      </c>
      <c r="F140" s="26" t="str">
        <f t="shared" si="4"/>
        <v>42 : 15</v>
      </c>
      <c r="G140" s="14">
        <f t="shared" si="5"/>
        <v>1293</v>
      </c>
      <c r="H140" s="22">
        <v>4</v>
      </c>
      <c r="I140" s="9" t="s">
        <v>113</v>
      </c>
      <c r="J140" s="9" t="s">
        <v>39</v>
      </c>
      <c r="K140" s="9" t="s">
        <v>39</v>
      </c>
      <c r="L140" s="20">
        <v>0.5</v>
      </c>
      <c r="M140" s="14">
        <v>0.5</v>
      </c>
      <c r="AD140" s="14">
        <v>0</v>
      </c>
      <c r="AE140" s="14">
        <v>0</v>
      </c>
      <c r="AG140" s="14" t="s">
        <v>250</v>
      </c>
    </row>
    <row r="141" spans="1:34" s="14" customFormat="1" x14ac:dyDescent="0.25">
      <c r="A141" s="10" t="s">
        <v>240</v>
      </c>
      <c r="B141" s="10"/>
      <c r="C141" s="10">
        <v>1</v>
      </c>
      <c r="D141" s="11">
        <v>41921</v>
      </c>
      <c r="E141" s="12">
        <v>43214</v>
      </c>
      <c r="F141" s="26" t="str">
        <f t="shared" si="4"/>
        <v>42 : 15</v>
      </c>
      <c r="G141" s="14">
        <f t="shared" si="5"/>
        <v>1293</v>
      </c>
      <c r="H141" s="22">
        <v>4</v>
      </c>
      <c r="I141" s="9" t="s">
        <v>115</v>
      </c>
      <c r="J141" s="9" t="s">
        <v>32</v>
      </c>
      <c r="K141" s="9" t="s">
        <v>35</v>
      </c>
      <c r="L141" s="20">
        <v>0.5</v>
      </c>
      <c r="M141" s="14">
        <v>-0.5</v>
      </c>
      <c r="AD141" s="14">
        <v>0</v>
      </c>
      <c r="AE141" s="14">
        <v>0</v>
      </c>
      <c r="AF141" s="14" t="s">
        <v>251</v>
      </c>
      <c r="AG141" s="14" t="s">
        <v>252</v>
      </c>
    </row>
    <row r="142" spans="1:34" s="14" customFormat="1" x14ac:dyDescent="0.25">
      <c r="A142" s="10" t="s">
        <v>240</v>
      </c>
      <c r="B142" s="10"/>
      <c r="C142" s="10">
        <v>1</v>
      </c>
      <c r="D142" s="11">
        <v>41921</v>
      </c>
      <c r="E142" s="12">
        <v>43214</v>
      </c>
      <c r="F142" s="26" t="str">
        <f t="shared" si="4"/>
        <v>42 : 15</v>
      </c>
      <c r="G142" s="14">
        <f t="shared" si="5"/>
        <v>1293</v>
      </c>
      <c r="H142" s="22">
        <v>4</v>
      </c>
      <c r="I142" s="9" t="s">
        <v>117</v>
      </c>
      <c r="J142" s="9" t="s">
        <v>30</v>
      </c>
      <c r="K142" s="9" t="s">
        <v>40</v>
      </c>
      <c r="L142" s="20">
        <v>-0.5</v>
      </c>
      <c r="M142" s="14">
        <v>-0.5</v>
      </c>
      <c r="AD142" s="14">
        <v>0</v>
      </c>
      <c r="AE142" s="14">
        <v>1</v>
      </c>
      <c r="AG142" s="14" t="s">
        <v>253</v>
      </c>
    </row>
    <row r="143" spans="1:34" s="14" customFormat="1" x14ac:dyDescent="0.25">
      <c r="A143" s="10" t="s">
        <v>240</v>
      </c>
      <c r="B143" s="10"/>
      <c r="C143" s="10">
        <v>1</v>
      </c>
      <c r="D143" s="11">
        <v>41921</v>
      </c>
      <c r="E143" s="12">
        <v>43214</v>
      </c>
      <c r="F143" s="26" t="str">
        <f t="shared" si="4"/>
        <v>42 : 15</v>
      </c>
      <c r="G143" s="14">
        <f t="shared" si="5"/>
        <v>1293</v>
      </c>
      <c r="H143" s="22">
        <v>4</v>
      </c>
      <c r="I143" s="9" t="s">
        <v>121</v>
      </c>
      <c r="J143" s="9" t="s">
        <v>33</v>
      </c>
      <c r="K143" s="9" t="s">
        <v>33</v>
      </c>
      <c r="L143" s="20">
        <v>-0.5</v>
      </c>
      <c r="M143" s="14">
        <v>0.5</v>
      </c>
      <c r="P143" s="14">
        <v>1</v>
      </c>
      <c r="AD143" s="14">
        <v>0</v>
      </c>
      <c r="AE143" s="14">
        <v>1</v>
      </c>
      <c r="AG143" s="14" t="s">
        <v>254</v>
      </c>
      <c r="AH143" s="14" t="s">
        <v>255</v>
      </c>
    </row>
    <row r="144" spans="1:34" s="14" customFormat="1" x14ac:dyDescent="0.25">
      <c r="A144" s="10" t="s">
        <v>240</v>
      </c>
      <c r="B144" s="10"/>
      <c r="C144" s="10">
        <v>1</v>
      </c>
      <c r="D144" s="11">
        <v>41921</v>
      </c>
      <c r="E144" s="12">
        <v>43214</v>
      </c>
      <c r="F144" s="26" t="str">
        <f t="shared" si="4"/>
        <v>42 : 15</v>
      </c>
      <c r="G144" s="14">
        <f t="shared" si="5"/>
        <v>1293</v>
      </c>
      <c r="H144" s="22">
        <v>4</v>
      </c>
      <c r="I144" s="9" t="s">
        <v>124</v>
      </c>
      <c r="J144" s="9" t="s">
        <v>40</v>
      </c>
      <c r="K144" s="9" t="s">
        <v>40</v>
      </c>
      <c r="L144" s="20">
        <v>0.5</v>
      </c>
      <c r="M144" s="14">
        <v>0.5</v>
      </c>
      <c r="AD144" s="14">
        <v>0</v>
      </c>
      <c r="AE144" s="14">
        <v>0</v>
      </c>
      <c r="AG144" s="14" t="s">
        <v>256</v>
      </c>
    </row>
    <row r="145" spans="1:34" s="14" customFormat="1" x14ac:dyDescent="0.25">
      <c r="A145" s="10" t="s">
        <v>240</v>
      </c>
      <c r="B145" s="10"/>
      <c r="C145" s="10">
        <v>1</v>
      </c>
      <c r="D145" s="11">
        <v>41921</v>
      </c>
      <c r="E145" s="12">
        <v>43214</v>
      </c>
      <c r="F145" s="26" t="str">
        <f t="shared" si="4"/>
        <v>42 : 15</v>
      </c>
      <c r="G145" s="14">
        <f t="shared" si="5"/>
        <v>1293</v>
      </c>
      <c r="H145" s="22">
        <v>4</v>
      </c>
      <c r="I145" s="9" t="s">
        <v>127</v>
      </c>
      <c r="J145" s="9" t="s">
        <v>39</v>
      </c>
      <c r="K145" s="9" t="s">
        <v>30</v>
      </c>
      <c r="L145" s="20">
        <v>-0.5</v>
      </c>
      <c r="M145" s="14">
        <v>-0.5</v>
      </c>
      <c r="AD145" s="14">
        <v>0</v>
      </c>
      <c r="AE145" s="14">
        <v>1</v>
      </c>
      <c r="AG145" s="14" t="s">
        <v>257</v>
      </c>
    </row>
    <row r="146" spans="1:34" s="14" customFormat="1" x14ac:dyDescent="0.25">
      <c r="A146" s="10" t="s">
        <v>258</v>
      </c>
      <c r="B146" s="10"/>
      <c r="C146" s="10">
        <v>0</v>
      </c>
      <c r="D146" s="11">
        <v>41924</v>
      </c>
      <c r="E146" s="12">
        <v>43217</v>
      </c>
      <c r="F146" s="26" t="str">
        <f t="shared" si="4"/>
        <v>42 : 15</v>
      </c>
      <c r="G146" s="14">
        <f t="shared" si="5"/>
        <v>1293</v>
      </c>
      <c r="H146" s="9">
        <v>5</v>
      </c>
      <c r="I146" s="9">
        <v>6</v>
      </c>
      <c r="J146" s="9" t="s">
        <v>39</v>
      </c>
      <c r="K146" s="9" t="s">
        <v>40</v>
      </c>
      <c r="L146" s="20">
        <v>0.5</v>
      </c>
      <c r="M146" s="14">
        <v>-0.5</v>
      </c>
      <c r="AD146" s="14">
        <v>0</v>
      </c>
      <c r="AE146" s="14">
        <v>0</v>
      </c>
      <c r="AG146" s="14" t="s">
        <v>259</v>
      </c>
    </row>
    <row r="147" spans="1:34" x14ac:dyDescent="0.25">
      <c r="A147" s="3" t="s">
        <v>258</v>
      </c>
      <c r="C147" s="3">
        <v>0</v>
      </c>
      <c r="D147" s="4">
        <v>41924</v>
      </c>
      <c r="E147" s="5">
        <v>43217</v>
      </c>
      <c r="F147" s="25" t="str">
        <f t="shared" si="4"/>
        <v>42 : 15</v>
      </c>
      <c r="G147">
        <f t="shared" si="5"/>
        <v>1293</v>
      </c>
      <c r="H147" s="7">
        <v>5</v>
      </c>
      <c r="I147" s="7">
        <v>5</v>
      </c>
      <c r="J147" s="7" t="s">
        <v>33</v>
      </c>
      <c r="K147" s="7" t="s">
        <v>35</v>
      </c>
      <c r="L147" s="19">
        <v>-0.5</v>
      </c>
      <c r="M147">
        <v>-0.5</v>
      </c>
      <c r="AD147">
        <v>0</v>
      </c>
      <c r="AE147">
        <v>1</v>
      </c>
      <c r="AG147" t="s">
        <v>260</v>
      </c>
    </row>
    <row r="148" spans="1:34" x14ac:dyDescent="0.25">
      <c r="A148" s="3" t="s">
        <v>258</v>
      </c>
      <c r="C148" s="3">
        <v>0</v>
      </c>
      <c r="D148" s="4">
        <v>41924</v>
      </c>
      <c r="E148" s="5">
        <v>43217</v>
      </c>
      <c r="F148" s="25" t="str">
        <f t="shared" si="4"/>
        <v>42 : 15</v>
      </c>
      <c r="G148">
        <f t="shared" si="5"/>
        <v>1293</v>
      </c>
      <c r="H148" s="7">
        <v>5</v>
      </c>
      <c r="I148" s="7">
        <v>4</v>
      </c>
      <c r="J148" s="7" t="s">
        <v>32</v>
      </c>
      <c r="K148" s="7" t="s">
        <v>32</v>
      </c>
      <c r="L148" s="19">
        <v>0.5</v>
      </c>
      <c r="M148">
        <v>0.5</v>
      </c>
      <c r="V148" t="s">
        <v>261</v>
      </c>
      <c r="W148">
        <v>1</v>
      </c>
      <c r="AA148">
        <v>1</v>
      </c>
      <c r="AG148" t="s">
        <v>262</v>
      </c>
    </row>
    <row r="149" spans="1:34" x14ac:dyDescent="0.25">
      <c r="A149" s="3" t="s">
        <v>258</v>
      </c>
      <c r="C149" s="3">
        <v>0</v>
      </c>
      <c r="D149" s="4">
        <v>41924</v>
      </c>
      <c r="E149" s="5">
        <v>43217</v>
      </c>
      <c r="F149" s="25" t="str">
        <f t="shared" si="4"/>
        <v>42 : 15</v>
      </c>
      <c r="G149">
        <f t="shared" si="5"/>
        <v>1293</v>
      </c>
      <c r="H149" s="7">
        <v>5</v>
      </c>
      <c r="I149" s="7">
        <v>3</v>
      </c>
      <c r="J149" s="7" t="s">
        <v>35</v>
      </c>
      <c r="K149" s="9" t="s">
        <v>35</v>
      </c>
      <c r="L149" s="19">
        <v>0.5</v>
      </c>
      <c r="M149">
        <v>0.5</v>
      </c>
      <c r="AD149">
        <v>0</v>
      </c>
      <c r="AE149">
        <v>0</v>
      </c>
      <c r="AG149" t="s">
        <v>45</v>
      </c>
      <c r="AH149" t="s">
        <v>263</v>
      </c>
    </row>
    <row r="150" spans="1:34" x14ac:dyDescent="0.25">
      <c r="A150" s="3" t="s">
        <v>258</v>
      </c>
      <c r="C150" s="3">
        <v>0</v>
      </c>
      <c r="D150" s="4">
        <v>41924</v>
      </c>
      <c r="E150" s="5">
        <v>43217</v>
      </c>
      <c r="F150" s="25" t="str">
        <f t="shared" si="4"/>
        <v>42 : 15</v>
      </c>
      <c r="G150">
        <f t="shared" si="5"/>
        <v>1293</v>
      </c>
      <c r="H150" s="7">
        <v>5</v>
      </c>
      <c r="I150" s="7">
        <v>2</v>
      </c>
      <c r="J150" s="7" t="s">
        <v>32</v>
      </c>
      <c r="K150" s="9" t="s">
        <v>33</v>
      </c>
      <c r="L150" s="19">
        <v>-0.5</v>
      </c>
      <c r="M150">
        <v>-0.5</v>
      </c>
      <c r="AD150">
        <v>0</v>
      </c>
      <c r="AE150">
        <v>1</v>
      </c>
      <c r="AF150" t="s">
        <v>264</v>
      </c>
      <c r="AG150" t="s">
        <v>265</v>
      </c>
    </row>
    <row r="151" spans="1:34" x14ac:dyDescent="0.25">
      <c r="A151" s="3" t="s">
        <v>258</v>
      </c>
      <c r="C151" s="3">
        <v>0</v>
      </c>
      <c r="D151" s="4">
        <v>41924</v>
      </c>
      <c r="E151" s="5">
        <v>43217</v>
      </c>
      <c r="F151" s="25" t="str">
        <f t="shared" si="4"/>
        <v>42 : 15</v>
      </c>
      <c r="G151">
        <f t="shared" si="5"/>
        <v>1293</v>
      </c>
      <c r="H151" s="7">
        <v>5</v>
      </c>
      <c r="I151" s="7">
        <v>1</v>
      </c>
      <c r="J151" s="7" t="s">
        <v>30</v>
      </c>
      <c r="K151" s="9" t="s">
        <v>30</v>
      </c>
      <c r="L151" s="19">
        <v>-0.5</v>
      </c>
      <c r="M151">
        <v>0.5</v>
      </c>
      <c r="AD151">
        <v>0</v>
      </c>
      <c r="AE151">
        <v>1</v>
      </c>
      <c r="AG151" t="s">
        <v>53</v>
      </c>
    </row>
    <row r="152" spans="1:34" x14ac:dyDescent="0.25">
      <c r="A152" s="3" t="s">
        <v>258</v>
      </c>
      <c r="C152" s="3">
        <v>0</v>
      </c>
      <c r="D152" s="4">
        <v>41924</v>
      </c>
      <c r="E152" s="5">
        <v>43217</v>
      </c>
      <c r="F152" s="25" t="str">
        <f t="shared" si="4"/>
        <v>42 : 15</v>
      </c>
      <c r="G152">
        <f t="shared" si="5"/>
        <v>1293</v>
      </c>
      <c r="H152" s="7">
        <v>5</v>
      </c>
      <c r="I152" s="7">
        <v>12</v>
      </c>
      <c r="J152" s="7" t="s">
        <v>30</v>
      </c>
      <c r="K152" s="9" t="s">
        <v>39</v>
      </c>
      <c r="L152" s="19">
        <v>0.5</v>
      </c>
      <c r="M152">
        <v>-0.5</v>
      </c>
      <c r="AD152">
        <v>0</v>
      </c>
      <c r="AE152">
        <v>0</v>
      </c>
      <c r="AG152" t="s">
        <v>266</v>
      </c>
    </row>
    <row r="153" spans="1:34" x14ac:dyDescent="0.25">
      <c r="A153" s="3" t="s">
        <v>258</v>
      </c>
      <c r="C153" s="3">
        <v>0</v>
      </c>
      <c r="D153" s="4">
        <v>41924</v>
      </c>
      <c r="E153" s="5">
        <v>43217</v>
      </c>
      <c r="F153" s="25" t="str">
        <f t="shared" si="4"/>
        <v>42 : 15</v>
      </c>
      <c r="G153">
        <f t="shared" si="5"/>
        <v>1293</v>
      </c>
      <c r="H153" s="7">
        <v>5</v>
      </c>
      <c r="I153" s="7">
        <v>11</v>
      </c>
      <c r="J153" s="7" t="s">
        <v>40</v>
      </c>
      <c r="K153" s="9" t="s">
        <v>40</v>
      </c>
      <c r="L153" s="19">
        <v>-0.5</v>
      </c>
      <c r="M153">
        <v>0.5</v>
      </c>
      <c r="AD153">
        <v>0</v>
      </c>
      <c r="AE153">
        <v>1</v>
      </c>
      <c r="AF153" t="s">
        <v>267</v>
      </c>
      <c r="AG153" t="s">
        <v>268</v>
      </c>
      <c r="AH153" t="s">
        <v>263</v>
      </c>
    </row>
    <row r="154" spans="1:34" x14ac:dyDescent="0.25">
      <c r="A154" s="3" t="s">
        <v>258</v>
      </c>
      <c r="C154" s="3">
        <v>0</v>
      </c>
      <c r="D154" s="4">
        <v>41924</v>
      </c>
      <c r="E154" s="5">
        <v>43217</v>
      </c>
      <c r="F154" s="25" t="str">
        <f t="shared" si="4"/>
        <v>42 : 15</v>
      </c>
      <c r="G154">
        <f t="shared" si="5"/>
        <v>1293</v>
      </c>
      <c r="H154" s="7">
        <v>5</v>
      </c>
      <c r="I154" s="7">
        <v>10</v>
      </c>
      <c r="J154" s="7" t="s">
        <v>33</v>
      </c>
      <c r="K154" s="9" t="s">
        <v>33</v>
      </c>
      <c r="L154" s="19">
        <v>0.5</v>
      </c>
      <c r="M154">
        <v>0.5</v>
      </c>
      <c r="AD154">
        <v>0</v>
      </c>
      <c r="AE154">
        <v>0</v>
      </c>
      <c r="AG154" t="s">
        <v>45</v>
      </c>
      <c r="AH154" t="s">
        <v>263</v>
      </c>
    </row>
    <row r="155" spans="1:34" x14ac:dyDescent="0.25">
      <c r="A155" s="3" t="s">
        <v>258</v>
      </c>
      <c r="C155" s="3">
        <v>0</v>
      </c>
      <c r="D155" s="4">
        <v>41924</v>
      </c>
      <c r="E155" s="5">
        <v>43217</v>
      </c>
      <c r="F155" s="25" t="str">
        <f t="shared" si="4"/>
        <v>42 : 15</v>
      </c>
      <c r="G155">
        <f t="shared" si="5"/>
        <v>1293</v>
      </c>
      <c r="H155" s="7">
        <v>5</v>
      </c>
      <c r="I155" s="7">
        <v>9</v>
      </c>
      <c r="J155" s="7" t="s">
        <v>40</v>
      </c>
      <c r="K155" s="9" t="s">
        <v>30</v>
      </c>
      <c r="L155" s="19">
        <v>0.5</v>
      </c>
      <c r="M155">
        <v>-0.5</v>
      </c>
      <c r="AD155">
        <v>1</v>
      </c>
      <c r="AE155">
        <v>1</v>
      </c>
      <c r="AF155" t="s">
        <v>269</v>
      </c>
      <c r="AG155" t="s">
        <v>270</v>
      </c>
    </row>
    <row r="156" spans="1:34" x14ac:dyDescent="0.25">
      <c r="A156" s="3" t="s">
        <v>258</v>
      </c>
      <c r="C156" s="3">
        <v>0</v>
      </c>
      <c r="D156" s="4">
        <v>41924</v>
      </c>
      <c r="E156" s="5">
        <v>43217</v>
      </c>
      <c r="F156" s="25" t="str">
        <f t="shared" si="4"/>
        <v>42 : 15</v>
      </c>
      <c r="G156">
        <f t="shared" si="5"/>
        <v>1293</v>
      </c>
      <c r="H156" s="7">
        <v>5</v>
      </c>
      <c r="I156" s="7">
        <v>8</v>
      </c>
      <c r="J156" s="7" t="s">
        <v>35</v>
      </c>
      <c r="K156" s="9" t="s">
        <v>32</v>
      </c>
      <c r="L156" s="19">
        <v>-0.5</v>
      </c>
      <c r="M156">
        <v>-0.5</v>
      </c>
      <c r="S156">
        <v>0</v>
      </c>
      <c r="AD156">
        <v>0</v>
      </c>
      <c r="AE156">
        <v>1</v>
      </c>
      <c r="AF156" t="s">
        <v>271</v>
      </c>
      <c r="AG156" t="s">
        <v>272</v>
      </c>
    </row>
    <row r="157" spans="1:34" x14ac:dyDescent="0.25">
      <c r="A157" s="3" t="s">
        <v>258</v>
      </c>
      <c r="C157" s="3">
        <v>0</v>
      </c>
      <c r="D157" s="4">
        <v>41924</v>
      </c>
      <c r="E157" s="5">
        <v>43217</v>
      </c>
      <c r="F157" s="25" t="str">
        <f t="shared" si="4"/>
        <v>42 : 15</v>
      </c>
      <c r="G157">
        <f t="shared" si="5"/>
        <v>1293</v>
      </c>
      <c r="H157" s="7">
        <v>5</v>
      </c>
      <c r="I157" s="7">
        <v>7</v>
      </c>
      <c r="J157" s="7" t="s">
        <v>39</v>
      </c>
      <c r="K157" s="9" t="s">
        <v>39</v>
      </c>
      <c r="L157" s="19">
        <v>-0.5</v>
      </c>
      <c r="M157">
        <v>0.5</v>
      </c>
      <c r="AD157">
        <v>0</v>
      </c>
      <c r="AE157">
        <v>1</v>
      </c>
      <c r="AG157" t="s">
        <v>67</v>
      </c>
    </row>
    <row r="158" spans="1:34" s="14" customFormat="1" x14ac:dyDescent="0.25">
      <c r="A158" s="10" t="s">
        <v>273</v>
      </c>
      <c r="B158" s="10"/>
      <c r="C158" s="10">
        <v>0</v>
      </c>
      <c r="D158" s="11">
        <v>41913</v>
      </c>
      <c r="E158" s="12">
        <v>43206</v>
      </c>
      <c r="F158" s="26" t="str">
        <f t="shared" si="4"/>
        <v>42 : 15</v>
      </c>
      <c r="G158" s="14">
        <f t="shared" si="5"/>
        <v>1293</v>
      </c>
      <c r="H158" s="22">
        <v>2</v>
      </c>
      <c r="I158" s="9" t="s">
        <v>97</v>
      </c>
      <c r="J158" s="9" t="s">
        <v>30</v>
      </c>
      <c r="K158" s="9" t="s">
        <v>30</v>
      </c>
      <c r="L158" s="20">
        <v>-0.5</v>
      </c>
      <c r="M158" s="14">
        <v>0.5</v>
      </c>
      <c r="AD158" s="14">
        <v>0</v>
      </c>
      <c r="AE158" s="14">
        <v>1</v>
      </c>
      <c r="AG158" s="14" t="s">
        <v>274</v>
      </c>
    </row>
    <row r="159" spans="1:34" s="14" customFormat="1" x14ac:dyDescent="0.25">
      <c r="A159" s="10" t="s">
        <v>273</v>
      </c>
      <c r="B159" s="10"/>
      <c r="C159" s="10">
        <v>0</v>
      </c>
      <c r="D159" s="11">
        <v>41913</v>
      </c>
      <c r="E159" s="12">
        <v>43206</v>
      </c>
      <c r="F159" s="26" t="str">
        <f t="shared" si="4"/>
        <v>42 : 15</v>
      </c>
      <c r="G159" s="14">
        <f t="shared" si="5"/>
        <v>1293</v>
      </c>
      <c r="H159" s="22">
        <v>2</v>
      </c>
      <c r="I159" s="9" t="s">
        <v>148</v>
      </c>
      <c r="J159" s="9" t="s">
        <v>33</v>
      </c>
      <c r="K159" s="9" t="s">
        <v>32</v>
      </c>
      <c r="L159" s="20">
        <v>-0.5</v>
      </c>
      <c r="M159" s="14">
        <v>-0.5</v>
      </c>
      <c r="AD159" s="14">
        <v>1</v>
      </c>
      <c r="AE159" s="14">
        <v>0</v>
      </c>
      <c r="AG159" s="14" t="s">
        <v>275</v>
      </c>
    </row>
    <row r="160" spans="1:34" s="14" customFormat="1" x14ac:dyDescent="0.25">
      <c r="A160" s="10" t="s">
        <v>273</v>
      </c>
      <c r="B160" s="10"/>
      <c r="C160" s="10">
        <v>0</v>
      </c>
      <c r="D160" s="11">
        <v>41913</v>
      </c>
      <c r="E160" s="12">
        <v>43206</v>
      </c>
      <c r="F160" s="26" t="str">
        <f t="shared" si="4"/>
        <v>42 : 15</v>
      </c>
      <c r="G160" s="14">
        <f t="shared" si="5"/>
        <v>1293</v>
      </c>
      <c r="H160" s="22">
        <v>2</v>
      </c>
      <c r="I160" s="9" t="s">
        <v>147</v>
      </c>
      <c r="J160" s="9" t="s">
        <v>35</v>
      </c>
      <c r="K160" s="9" t="s">
        <v>35</v>
      </c>
      <c r="L160" s="20">
        <v>0.5</v>
      </c>
      <c r="M160" s="14">
        <v>0.5</v>
      </c>
      <c r="V160" s="14" t="s">
        <v>276</v>
      </c>
      <c r="W160" s="14">
        <v>1</v>
      </c>
      <c r="AD160" s="14">
        <v>0</v>
      </c>
      <c r="AE160" s="14">
        <v>0</v>
      </c>
      <c r="AG160" s="14" t="s">
        <v>277</v>
      </c>
    </row>
    <row r="161" spans="1:34" s="14" customFormat="1" x14ac:dyDescent="0.25">
      <c r="A161" s="10" t="s">
        <v>273</v>
      </c>
      <c r="B161" s="10"/>
      <c r="C161" s="10">
        <v>0</v>
      </c>
      <c r="D161" s="11">
        <v>41913</v>
      </c>
      <c r="E161" s="12">
        <v>43206</v>
      </c>
      <c r="F161" s="26" t="str">
        <f t="shared" si="4"/>
        <v>42 : 15</v>
      </c>
      <c r="G161" s="14">
        <f t="shared" si="5"/>
        <v>1293</v>
      </c>
      <c r="H161" s="22">
        <v>2</v>
      </c>
      <c r="I161" s="9" t="s">
        <v>146</v>
      </c>
      <c r="J161" s="9" t="s">
        <v>32</v>
      </c>
      <c r="K161" s="9" t="s">
        <v>32</v>
      </c>
      <c r="L161" s="20">
        <v>0.5</v>
      </c>
      <c r="M161" s="14">
        <v>0.5</v>
      </c>
      <c r="AD161" s="14">
        <v>1</v>
      </c>
      <c r="AE161" s="14">
        <v>1</v>
      </c>
      <c r="AF161" s="14" t="s">
        <v>278</v>
      </c>
      <c r="AG161" s="14" t="s">
        <v>279</v>
      </c>
      <c r="AH161" s="14" t="s">
        <v>280</v>
      </c>
    </row>
    <row r="162" spans="1:34" s="14" customFormat="1" x14ac:dyDescent="0.25">
      <c r="A162" s="10" t="s">
        <v>273</v>
      </c>
      <c r="B162" s="10"/>
      <c r="C162" s="10">
        <v>0</v>
      </c>
      <c r="D162" s="11">
        <v>41913</v>
      </c>
      <c r="E162" s="12">
        <v>43206</v>
      </c>
      <c r="F162" s="26" t="str">
        <f t="shared" si="4"/>
        <v>42 : 15</v>
      </c>
      <c r="G162" s="14">
        <f t="shared" si="5"/>
        <v>1293</v>
      </c>
      <c r="H162" s="22">
        <v>2</v>
      </c>
      <c r="I162" s="9" t="s">
        <v>145</v>
      </c>
      <c r="J162" s="9" t="s">
        <v>35</v>
      </c>
      <c r="K162" s="9" t="s">
        <v>33</v>
      </c>
      <c r="L162" s="20">
        <v>-0.5</v>
      </c>
      <c r="M162" s="14">
        <v>-0.5</v>
      </c>
      <c r="U162" s="14">
        <v>1</v>
      </c>
      <c r="AD162" s="14">
        <v>1</v>
      </c>
      <c r="AE162" s="14">
        <v>0</v>
      </c>
      <c r="AG162" s="14" t="s">
        <v>281</v>
      </c>
    </row>
    <row r="163" spans="1:34" s="14" customFormat="1" x14ac:dyDescent="0.25">
      <c r="A163" s="10" t="s">
        <v>273</v>
      </c>
      <c r="B163" s="10"/>
      <c r="C163" s="10">
        <v>0</v>
      </c>
      <c r="D163" s="11">
        <v>41913</v>
      </c>
      <c r="E163" s="12">
        <v>43206</v>
      </c>
      <c r="F163" s="26" t="str">
        <f t="shared" si="4"/>
        <v>42 : 15</v>
      </c>
      <c r="G163" s="14">
        <f t="shared" si="5"/>
        <v>1293</v>
      </c>
      <c r="H163" s="22">
        <v>2</v>
      </c>
      <c r="I163" s="9" t="s">
        <v>143</v>
      </c>
      <c r="J163" s="9" t="s">
        <v>40</v>
      </c>
      <c r="K163" s="9" t="s">
        <v>39</v>
      </c>
      <c r="L163" s="20">
        <v>0.5</v>
      </c>
      <c r="M163" s="14">
        <v>-0.5</v>
      </c>
      <c r="AD163" s="14">
        <v>1</v>
      </c>
      <c r="AE163" s="14">
        <v>1</v>
      </c>
      <c r="AG163" s="14" t="s">
        <v>282</v>
      </c>
    </row>
    <row r="164" spans="1:34" s="14" customFormat="1" x14ac:dyDescent="0.25">
      <c r="A164" s="10" t="s">
        <v>273</v>
      </c>
      <c r="B164" s="10"/>
      <c r="C164" s="10">
        <v>0</v>
      </c>
      <c r="D164" s="11">
        <v>41913</v>
      </c>
      <c r="E164" s="12">
        <v>43206</v>
      </c>
      <c r="F164" s="26" t="str">
        <f t="shared" si="4"/>
        <v>42 : 15</v>
      </c>
      <c r="G164" s="14">
        <f t="shared" si="5"/>
        <v>1293</v>
      </c>
      <c r="H164" s="22">
        <v>2</v>
      </c>
      <c r="I164" s="9" t="s">
        <v>158</v>
      </c>
      <c r="J164" s="9" t="s">
        <v>39</v>
      </c>
      <c r="K164" s="9" t="s">
        <v>39</v>
      </c>
      <c r="L164" s="20">
        <v>-0.5</v>
      </c>
      <c r="M164" s="14">
        <v>0.5</v>
      </c>
      <c r="AD164" s="14">
        <v>1</v>
      </c>
      <c r="AE164" s="14">
        <v>0</v>
      </c>
      <c r="AG164" s="14" t="s">
        <v>283</v>
      </c>
    </row>
    <row r="165" spans="1:34" s="14" customFormat="1" x14ac:dyDescent="0.25">
      <c r="A165" s="10" t="s">
        <v>273</v>
      </c>
      <c r="B165" s="10"/>
      <c r="C165" s="10">
        <v>0</v>
      </c>
      <c r="D165" s="11">
        <v>41913</v>
      </c>
      <c r="E165" s="12">
        <v>43206</v>
      </c>
      <c r="F165" s="26" t="str">
        <f t="shared" si="4"/>
        <v>42 : 15</v>
      </c>
      <c r="G165" s="14">
        <f t="shared" si="5"/>
        <v>1293</v>
      </c>
      <c r="H165" s="22">
        <v>2</v>
      </c>
      <c r="I165" s="9" t="s">
        <v>157</v>
      </c>
      <c r="J165" s="9" t="s">
        <v>32</v>
      </c>
      <c r="K165" s="9" t="s">
        <v>35</v>
      </c>
      <c r="L165" s="20">
        <v>-0.5</v>
      </c>
      <c r="M165" s="14">
        <v>-0.5</v>
      </c>
      <c r="Q165" s="14">
        <v>1</v>
      </c>
      <c r="V165" s="14" t="s">
        <v>276</v>
      </c>
      <c r="W165" s="14">
        <v>1</v>
      </c>
      <c r="AD165" s="14">
        <v>0</v>
      </c>
      <c r="AE165" s="14">
        <v>1</v>
      </c>
      <c r="AF165" s="14" t="s">
        <v>284</v>
      </c>
      <c r="AG165" s="14" t="s">
        <v>285</v>
      </c>
    </row>
    <row r="166" spans="1:34" s="14" customFormat="1" x14ac:dyDescent="0.25">
      <c r="A166" s="10" t="s">
        <v>273</v>
      </c>
      <c r="B166" s="10"/>
      <c r="C166" s="10">
        <v>0</v>
      </c>
      <c r="D166" s="11">
        <v>41913</v>
      </c>
      <c r="E166" s="12">
        <v>43206</v>
      </c>
      <c r="F166" s="26" t="str">
        <f t="shared" si="4"/>
        <v>42 : 15</v>
      </c>
      <c r="G166" s="14">
        <f t="shared" si="5"/>
        <v>1293</v>
      </c>
      <c r="H166" s="22">
        <v>2</v>
      </c>
      <c r="I166" s="9" t="s">
        <v>156</v>
      </c>
      <c r="J166" s="9" t="s">
        <v>30</v>
      </c>
      <c r="K166" s="9" t="s">
        <v>40</v>
      </c>
      <c r="L166" s="20">
        <v>0.5</v>
      </c>
      <c r="M166" s="14">
        <v>-0.5</v>
      </c>
      <c r="AD166" s="14">
        <v>0</v>
      </c>
      <c r="AE166" s="14">
        <v>0</v>
      </c>
      <c r="AG166" s="14" t="s">
        <v>53</v>
      </c>
    </row>
    <row r="167" spans="1:34" s="14" customFormat="1" x14ac:dyDescent="0.25">
      <c r="A167" s="10" t="s">
        <v>273</v>
      </c>
      <c r="B167" s="10"/>
      <c r="C167" s="10">
        <v>0</v>
      </c>
      <c r="D167" s="11">
        <v>41913</v>
      </c>
      <c r="E167" s="12">
        <v>43206</v>
      </c>
      <c r="F167" s="26" t="str">
        <f t="shared" si="4"/>
        <v>42 : 15</v>
      </c>
      <c r="G167" s="14">
        <f t="shared" si="5"/>
        <v>1293</v>
      </c>
      <c r="H167" s="22">
        <v>2</v>
      </c>
      <c r="I167" s="9" t="s">
        <v>155</v>
      </c>
      <c r="J167" s="9" t="s">
        <v>33</v>
      </c>
      <c r="K167" s="9" t="s">
        <v>33</v>
      </c>
      <c r="L167" s="20">
        <v>0.5</v>
      </c>
      <c r="M167" s="14">
        <v>0.5</v>
      </c>
      <c r="V167" s="14" t="s">
        <v>197</v>
      </c>
      <c r="W167" s="14">
        <v>1</v>
      </c>
      <c r="AD167" s="14">
        <v>0</v>
      </c>
      <c r="AE167" s="14">
        <v>0</v>
      </c>
      <c r="AG167" s="14" t="s">
        <v>286</v>
      </c>
    </row>
    <row r="168" spans="1:34" s="14" customFormat="1" x14ac:dyDescent="0.25">
      <c r="A168" s="10" t="s">
        <v>273</v>
      </c>
      <c r="B168" s="10"/>
      <c r="C168" s="10">
        <v>0</v>
      </c>
      <c r="D168" s="11">
        <v>41913</v>
      </c>
      <c r="E168" s="12">
        <v>43206</v>
      </c>
      <c r="F168" s="26" t="str">
        <f t="shared" si="4"/>
        <v>42 : 15</v>
      </c>
      <c r="G168" s="14">
        <f t="shared" si="5"/>
        <v>1293</v>
      </c>
      <c r="H168" s="22">
        <v>2</v>
      </c>
      <c r="I168" s="9" t="s">
        <v>154</v>
      </c>
      <c r="J168" s="9" t="s">
        <v>40</v>
      </c>
      <c r="K168" s="9" t="s">
        <v>40</v>
      </c>
      <c r="L168" s="20">
        <v>-0.5</v>
      </c>
      <c r="M168" s="14">
        <v>0.5</v>
      </c>
      <c r="AD168" s="14">
        <v>0</v>
      </c>
      <c r="AE168" s="14">
        <v>1</v>
      </c>
      <c r="AG168" s="14" t="s">
        <v>260</v>
      </c>
    </row>
    <row r="169" spans="1:34" s="14" customFormat="1" x14ac:dyDescent="0.25">
      <c r="A169" s="10" t="s">
        <v>273</v>
      </c>
      <c r="B169" s="10"/>
      <c r="C169" s="10">
        <v>0</v>
      </c>
      <c r="D169" s="11">
        <v>41913</v>
      </c>
      <c r="E169" s="12">
        <v>43206</v>
      </c>
      <c r="F169" s="26" t="str">
        <f t="shared" si="4"/>
        <v>42 : 15</v>
      </c>
      <c r="G169" s="14">
        <f t="shared" si="5"/>
        <v>1293</v>
      </c>
      <c r="H169" s="22">
        <v>2</v>
      </c>
      <c r="I169" s="9" t="s">
        <v>153</v>
      </c>
      <c r="J169" s="9" t="s">
        <v>39</v>
      </c>
      <c r="K169" s="9" t="s">
        <v>30</v>
      </c>
      <c r="L169" s="20">
        <v>0.5</v>
      </c>
      <c r="M169" s="14">
        <v>-0.5</v>
      </c>
      <c r="AD169" s="14">
        <v>0</v>
      </c>
      <c r="AE169" s="14">
        <v>0</v>
      </c>
      <c r="AG169" s="14" t="s">
        <v>67</v>
      </c>
    </row>
    <row r="170" spans="1:34" s="14" customFormat="1" x14ac:dyDescent="0.25">
      <c r="A170" s="10" t="s">
        <v>287</v>
      </c>
      <c r="B170" s="10"/>
      <c r="C170" s="10">
        <v>1</v>
      </c>
      <c r="D170" s="11">
        <v>41934</v>
      </c>
      <c r="E170" s="12">
        <v>43237</v>
      </c>
      <c r="F170" s="26" t="str">
        <f t="shared" si="4"/>
        <v>42 : 25</v>
      </c>
      <c r="G170" s="14">
        <f t="shared" si="5"/>
        <v>1303</v>
      </c>
      <c r="H170" s="9">
        <v>1</v>
      </c>
      <c r="I170" s="9">
        <v>1</v>
      </c>
      <c r="J170" s="9" t="s">
        <v>30</v>
      </c>
      <c r="K170" s="9" t="s">
        <v>30</v>
      </c>
      <c r="L170" s="15">
        <v>-0.5</v>
      </c>
      <c r="M170" s="14">
        <v>0.5</v>
      </c>
      <c r="T170" s="14">
        <v>1</v>
      </c>
      <c r="AD170" s="14">
        <v>0</v>
      </c>
      <c r="AE170" s="14">
        <v>1</v>
      </c>
      <c r="AG170" s="14" t="s">
        <v>288</v>
      </c>
      <c r="AH170" s="14" t="s">
        <v>280</v>
      </c>
    </row>
    <row r="171" spans="1:34" s="14" customFormat="1" x14ac:dyDescent="0.25">
      <c r="A171" s="10" t="s">
        <v>287</v>
      </c>
      <c r="B171" s="10"/>
      <c r="C171" s="10">
        <v>1</v>
      </c>
      <c r="D171" s="11">
        <v>41934</v>
      </c>
      <c r="E171" s="12">
        <v>43237</v>
      </c>
      <c r="F171" s="26" t="str">
        <f t="shared" si="4"/>
        <v>42 : 25</v>
      </c>
      <c r="G171" s="14">
        <f t="shared" si="5"/>
        <v>1303</v>
      </c>
      <c r="H171" s="9">
        <v>1</v>
      </c>
      <c r="I171" s="9">
        <v>2</v>
      </c>
      <c r="J171" s="9" t="s">
        <v>32</v>
      </c>
      <c r="K171" s="9" t="s">
        <v>33</v>
      </c>
      <c r="L171" s="15">
        <v>-0.5</v>
      </c>
      <c r="M171" s="14">
        <v>-0.5</v>
      </c>
      <c r="V171" s="14" t="s">
        <v>197</v>
      </c>
      <c r="W171" s="14">
        <v>1</v>
      </c>
      <c r="AD171" s="14">
        <v>0</v>
      </c>
      <c r="AE171" s="14">
        <v>1</v>
      </c>
      <c r="AG171" s="14" t="s">
        <v>289</v>
      </c>
    </row>
    <row r="172" spans="1:34" s="14" customFormat="1" x14ac:dyDescent="0.25">
      <c r="A172" s="10" t="s">
        <v>287</v>
      </c>
      <c r="B172" s="10"/>
      <c r="C172" s="10">
        <v>1</v>
      </c>
      <c r="D172" s="11">
        <v>41934</v>
      </c>
      <c r="E172" s="12">
        <v>43237</v>
      </c>
      <c r="F172" s="26" t="str">
        <f t="shared" si="4"/>
        <v>42 : 25</v>
      </c>
      <c r="G172" s="14">
        <f t="shared" si="5"/>
        <v>1303</v>
      </c>
      <c r="H172" s="9">
        <v>1</v>
      </c>
      <c r="I172" s="9">
        <v>3</v>
      </c>
      <c r="J172" s="9" t="s">
        <v>35</v>
      </c>
      <c r="K172" s="9" t="s">
        <v>35</v>
      </c>
      <c r="L172" s="15">
        <v>0.5</v>
      </c>
      <c r="M172" s="14">
        <v>0.5</v>
      </c>
      <c r="AD172" s="14">
        <v>0</v>
      </c>
      <c r="AE172" s="14">
        <v>0</v>
      </c>
      <c r="AG172" s="14" t="s">
        <v>36</v>
      </c>
    </row>
    <row r="173" spans="1:34" s="14" customFormat="1" x14ac:dyDescent="0.25">
      <c r="A173" s="10" t="s">
        <v>287</v>
      </c>
      <c r="B173" s="10"/>
      <c r="C173" s="10">
        <v>1</v>
      </c>
      <c r="D173" s="11">
        <v>41934</v>
      </c>
      <c r="E173" s="12">
        <v>43237</v>
      </c>
      <c r="F173" s="26" t="str">
        <f t="shared" si="4"/>
        <v>42 : 25</v>
      </c>
      <c r="G173" s="14">
        <f t="shared" si="5"/>
        <v>1303</v>
      </c>
      <c r="H173" s="9">
        <v>1</v>
      </c>
      <c r="I173" s="9">
        <v>4</v>
      </c>
      <c r="J173" s="9" t="s">
        <v>32</v>
      </c>
      <c r="K173" s="9" t="s">
        <v>32</v>
      </c>
      <c r="L173" s="15">
        <v>0.5</v>
      </c>
      <c r="M173" s="14">
        <v>0.5</v>
      </c>
      <c r="T173" s="14">
        <v>1</v>
      </c>
      <c r="AD173" s="14">
        <v>1</v>
      </c>
      <c r="AE173" s="14">
        <v>1</v>
      </c>
      <c r="AG173" s="14" t="s">
        <v>290</v>
      </c>
    </row>
    <row r="174" spans="1:34" s="14" customFormat="1" x14ac:dyDescent="0.25">
      <c r="A174" s="10" t="s">
        <v>287</v>
      </c>
      <c r="B174" s="10"/>
      <c r="C174" s="10">
        <v>1</v>
      </c>
      <c r="D174" s="11">
        <v>41934</v>
      </c>
      <c r="E174" s="12">
        <v>43237</v>
      </c>
      <c r="F174" s="26" t="str">
        <f t="shared" si="4"/>
        <v>42 : 25</v>
      </c>
      <c r="G174" s="14">
        <f t="shared" si="5"/>
        <v>1303</v>
      </c>
      <c r="H174" s="9">
        <v>1</v>
      </c>
      <c r="I174" s="9">
        <v>5</v>
      </c>
      <c r="J174" s="9" t="s">
        <v>33</v>
      </c>
      <c r="K174" s="9" t="s">
        <v>35</v>
      </c>
      <c r="L174" s="15">
        <v>-0.5</v>
      </c>
      <c r="M174" s="14">
        <v>-0.5</v>
      </c>
      <c r="AD174" s="14">
        <v>0</v>
      </c>
      <c r="AE174" s="14">
        <v>1</v>
      </c>
      <c r="AG174" s="14" t="s">
        <v>291</v>
      </c>
    </row>
    <row r="175" spans="1:34" s="14" customFormat="1" x14ac:dyDescent="0.25">
      <c r="A175" s="10" t="s">
        <v>287</v>
      </c>
      <c r="B175" s="10"/>
      <c r="C175" s="10">
        <v>1</v>
      </c>
      <c r="D175" s="11">
        <v>41934</v>
      </c>
      <c r="E175" s="12">
        <v>43237</v>
      </c>
      <c r="F175" s="26" t="str">
        <f t="shared" si="4"/>
        <v>42 : 25</v>
      </c>
      <c r="G175" s="14">
        <f t="shared" si="5"/>
        <v>1303</v>
      </c>
      <c r="H175" s="9">
        <v>1</v>
      </c>
      <c r="I175" s="9">
        <v>6</v>
      </c>
      <c r="J175" s="9" t="s">
        <v>39</v>
      </c>
      <c r="K175" s="9" t="s">
        <v>40</v>
      </c>
      <c r="L175" s="15">
        <v>0.5</v>
      </c>
      <c r="M175" s="14">
        <v>-0.5</v>
      </c>
      <c r="S175" s="14">
        <v>1</v>
      </c>
      <c r="AD175" s="14">
        <v>0</v>
      </c>
      <c r="AE175" s="14">
        <v>0</v>
      </c>
      <c r="AF175" s="14" t="s">
        <v>292</v>
      </c>
      <c r="AG175" s="14" t="s">
        <v>293</v>
      </c>
    </row>
    <row r="176" spans="1:34" s="14" customFormat="1" x14ac:dyDescent="0.25">
      <c r="A176" s="10" t="s">
        <v>287</v>
      </c>
      <c r="B176" s="10"/>
      <c r="C176" s="10">
        <v>1</v>
      </c>
      <c r="D176" s="11">
        <v>41934</v>
      </c>
      <c r="E176" s="12">
        <v>43237</v>
      </c>
      <c r="F176" s="26" t="str">
        <f t="shared" si="4"/>
        <v>42 : 25</v>
      </c>
      <c r="G176" s="14">
        <f t="shared" si="5"/>
        <v>1303</v>
      </c>
      <c r="H176" s="9">
        <v>1</v>
      </c>
      <c r="I176" s="9">
        <v>7</v>
      </c>
      <c r="J176" s="9" t="s">
        <v>39</v>
      </c>
      <c r="K176" s="9" t="s">
        <v>39</v>
      </c>
      <c r="L176" s="15">
        <v>-0.5</v>
      </c>
      <c r="M176" s="14">
        <v>0.5</v>
      </c>
      <c r="AD176" s="14">
        <v>1</v>
      </c>
      <c r="AE176" s="14">
        <v>0</v>
      </c>
      <c r="AG176" s="14" t="s">
        <v>294</v>
      </c>
      <c r="AH176" s="14" t="s">
        <v>295</v>
      </c>
    </row>
    <row r="177" spans="1:33" s="14" customFormat="1" x14ac:dyDescent="0.25">
      <c r="A177" s="10" t="s">
        <v>287</v>
      </c>
      <c r="B177" s="10"/>
      <c r="C177" s="10">
        <v>1</v>
      </c>
      <c r="D177" s="11">
        <v>41934</v>
      </c>
      <c r="E177" s="12">
        <v>43237</v>
      </c>
      <c r="F177" s="26" t="str">
        <f t="shared" si="4"/>
        <v>42 : 25</v>
      </c>
      <c r="G177" s="14">
        <f t="shared" si="5"/>
        <v>1303</v>
      </c>
      <c r="H177" s="9">
        <v>1</v>
      </c>
      <c r="I177" s="9">
        <v>8</v>
      </c>
      <c r="J177" s="9" t="s">
        <v>35</v>
      </c>
      <c r="K177" s="9" t="s">
        <v>32</v>
      </c>
      <c r="L177" s="15">
        <v>-0.5</v>
      </c>
      <c r="M177" s="14">
        <v>-0.5</v>
      </c>
      <c r="AD177" s="14">
        <v>1</v>
      </c>
      <c r="AE177" s="14">
        <v>0</v>
      </c>
      <c r="AG177" s="14" t="s">
        <v>296</v>
      </c>
    </row>
    <row r="178" spans="1:33" s="14" customFormat="1" x14ac:dyDescent="0.25">
      <c r="A178" s="10" t="s">
        <v>287</v>
      </c>
      <c r="B178" s="10"/>
      <c r="C178" s="10">
        <v>1</v>
      </c>
      <c r="D178" s="11">
        <v>41934</v>
      </c>
      <c r="E178" s="12">
        <v>43237</v>
      </c>
      <c r="F178" s="26" t="str">
        <f t="shared" si="4"/>
        <v>42 : 25</v>
      </c>
      <c r="G178" s="14">
        <f t="shared" si="5"/>
        <v>1303</v>
      </c>
      <c r="H178" s="9">
        <v>1</v>
      </c>
      <c r="I178" s="9">
        <v>9</v>
      </c>
      <c r="J178" s="9" t="s">
        <v>40</v>
      </c>
      <c r="K178" s="9" t="s">
        <v>30</v>
      </c>
      <c r="L178" s="15">
        <v>0.5</v>
      </c>
      <c r="M178" s="14">
        <v>-0.5</v>
      </c>
      <c r="R178" s="14">
        <v>1</v>
      </c>
      <c r="Y178" s="14">
        <v>1</v>
      </c>
      <c r="AD178" s="14">
        <v>0</v>
      </c>
      <c r="AE178" s="14">
        <v>0</v>
      </c>
      <c r="AF178" s="14" t="s">
        <v>297</v>
      </c>
      <c r="AG178" s="14" t="s">
        <v>298</v>
      </c>
    </row>
    <row r="179" spans="1:33" s="14" customFormat="1" x14ac:dyDescent="0.25">
      <c r="A179" s="10" t="s">
        <v>287</v>
      </c>
      <c r="B179" s="10"/>
      <c r="C179" s="10">
        <v>1</v>
      </c>
      <c r="D179" s="11">
        <v>41934</v>
      </c>
      <c r="E179" s="12">
        <v>43237</v>
      </c>
      <c r="F179" s="26" t="str">
        <f t="shared" si="4"/>
        <v>42 : 25</v>
      </c>
      <c r="G179" s="14">
        <f t="shared" si="5"/>
        <v>1303</v>
      </c>
      <c r="H179" s="9">
        <v>1</v>
      </c>
      <c r="I179" s="9">
        <v>10</v>
      </c>
      <c r="J179" s="9" t="s">
        <v>33</v>
      </c>
      <c r="K179" s="9" t="s">
        <v>33</v>
      </c>
      <c r="L179" s="15">
        <v>0.5</v>
      </c>
      <c r="M179" s="14">
        <v>0.5</v>
      </c>
      <c r="R179" s="14">
        <v>1</v>
      </c>
      <c r="V179" s="14" t="s">
        <v>197</v>
      </c>
      <c r="W179" s="14">
        <v>1</v>
      </c>
      <c r="Y179" s="14">
        <v>1</v>
      </c>
      <c r="AD179" s="14">
        <v>0</v>
      </c>
      <c r="AE179" s="14">
        <v>0</v>
      </c>
      <c r="AF179" s="14" t="s">
        <v>299</v>
      </c>
      <c r="AG179" s="14" t="s">
        <v>300</v>
      </c>
    </row>
    <row r="180" spans="1:33" s="14" customFormat="1" x14ac:dyDescent="0.25">
      <c r="A180" s="10" t="s">
        <v>287</v>
      </c>
      <c r="B180" s="10"/>
      <c r="C180" s="10">
        <v>1</v>
      </c>
      <c r="D180" s="11">
        <v>41934</v>
      </c>
      <c r="E180" s="12">
        <v>43237</v>
      </c>
      <c r="F180" s="26" t="str">
        <f t="shared" si="4"/>
        <v>42 : 25</v>
      </c>
      <c r="G180" s="14">
        <f t="shared" si="5"/>
        <v>1303</v>
      </c>
      <c r="H180" s="9">
        <v>1</v>
      </c>
      <c r="I180" s="9">
        <v>11</v>
      </c>
      <c r="J180" s="9" t="s">
        <v>40</v>
      </c>
      <c r="K180" s="9" t="s">
        <v>40</v>
      </c>
      <c r="L180" s="15">
        <v>-0.5</v>
      </c>
      <c r="M180" s="14">
        <v>0.5</v>
      </c>
      <c r="AD180" s="14">
        <v>0</v>
      </c>
      <c r="AE180" s="14">
        <v>1</v>
      </c>
      <c r="AG180" s="14" t="s">
        <v>138</v>
      </c>
    </row>
    <row r="181" spans="1:33" s="14" customFormat="1" x14ac:dyDescent="0.25">
      <c r="A181" s="10" t="s">
        <v>287</v>
      </c>
      <c r="B181" s="10"/>
      <c r="C181" s="10">
        <v>1</v>
      </c>
      <c r="D181" s="11">
        <v>41934</v>
      </c>
      <c r="E181" s="12">
        <v>43237</v>
      </c>
      <c r="F181" s="26" t="str">
        <f t="shared" si="4"/>
        <v>42 : 25</v>
      </c>
      <c r="G181" s="14">
        <f t="shared" si="5"/>
        <v>1303</v>
      </c>
      <c r="H181" s="9">
        <v>1</v>
      </c>
      <c r="I181" s="9">
        <v>12</v>
      </c>
      <c r="J181" s="9" t="s">
        <v>30</v>
      </c>
      <c r="K181" s="9" t="s">
        <v>30</v>
      </c>
      <c r="L181" s="15">
        <v>0.5</v>
      </c>
      <c r="M181" s="9">
        <v>0.5</v>
      </c>
      <c r="N181" s="9">
        <v>1</v>
      </c>
      <c r="O181" s="9"/>
      <c r="Y181" s="14">
        <v>1</v>
      </c>
      <c r="AF181" s="14" t="s">
        <v>301</v>
      </c>
      <c r="AG181" s="14" t="s">
        <v>302</v>
      </c>
    </row>
    <row r="182" spans="1:33" s="14" customFormat="1" x14ac:dyDescent="0.25">
      <c r="A182" s="10" t="s">
        <v>303</v>
      </c>
      <c r="B182" s="10"/>
      <c r="C182" s="10">
        <v>1</v>
      </c>
      <c r="D182" s="11">
        <v>41932</v>
      </c>
      <c r="E182" s="12">
        <v>43236</v>
      </c>
      <c r="F182" s="26" t="str">
        <f t="shared" ref="F182:F233" si="6">DATEDIF(D182,E182,"M")&amp;" : "&amp;DATEDIF(D182,E182,"MD")</f>
        <v>42 : 26</v>
      </c>
      <c r="G182" s="14">
        <f t="shared" ref="G182:G233" si="7">DATEDIF(D182,E182,"D")</f>
        <v>1304</v>
      </c>
      <c r="H182" s="9">
        <v>7</v>
      </c>
      <c r="I182" s="9">
        <v>6</v>
      </c>
      <c r="J182" s="9" t="s">
        <v>39</v>
      </c>
      <c r="K182" s="9" t="s">
        <v>40</v>
      </c>
      <c r="L182" s="20">
        <v>-0.5</v>
      </c>
      <c r="M182" s="14">
        <v>-0.5</v>
      </c>
      <c r="AD182" s="14">
        <v>0</v>
      </c>
      <c r="AE182" s="14">
        <v>1</v>
      </c>
      <c r="AG182" s="14" t="s">
        <v>41</v>
      </c>
    </row>
    <row r="183" spans="1:33" s="14" customFormat="1" x14ac:dyDescent="0.25">
      <c r="A183" s="10" t="s">
        <v>303</v>
      </c>
      <c r="B183" s="10"/>
      <c r="C183" s="10">
        <v>1</v>
      </c>
      <c r="D183" s="11">
        <v>41932</v>
      </c>
      <c r="E183" s="12">
        <v>43236</v>
      </c>
      <c r="F183" s="26" t="str">
        <f t="shared" si="6"/>
        <v>42 : 26</v>
      </c>
      <c r="G183" s="14">
        <f t="shared" si="7"/>
        <v>1304</v>
      </c>
      <c r="H183" s="9">
        <v>7</v>
      </c>
      <c r="I183" s="9">
        <v>5</v>
      </c>
      <c r="J183" s="9" t="s">
        <v>33</v>
      </c>
      <c r="K183" s="9" t="s">
        <v>35</v>
      </c>
      <c r="L183" s="20">
        <v>0.5</v>
      </c>
      <c r="M183" s="14">
        <v>-0.5</v>
      </c>
      <c r="U183" s="14">
        <v>1</v>
      </c>
      <c r="AD183" s="14">
        <v>0</v>
      </c>
      <c r="AE183" s="14">
        <v>0</v>
      </c>
      <c r="AG183" s="14" t="s">
        <v>304</v>
      </c>
    </row>
    <row r="184" spans="1:33" s="14" customFormat="1" x14ac:dyDescent="0.25">
      <c r="A184" s="10" t="s">
        <v>303</v>
      </c>
      <c r="B184" s="10"/>
      <c r="C184" s="10">
        <v>1</v>
      </c>
      <c r="D184" s="11">
        <v>41932</v>
      </c>
      <c r="E184" s="12">
        <v>43236</v>
      </c>
      <c r="F184" s="26" t="str">
        <f t="shared" si="6"/>
        <v>42 : 26</v>
      </c>
      <c r="G184" s="14">
        <f t="shared" si="7"/>
        <v>1304</v>
      </c>
      <c r="H184" s="9">
        <v>7</v>
      </c>
      <c r="I184" s="9">
        <v>4</v>
      </c>
      <c r="J184" s="9" t="s">
        <v>32</v>
      </c>
      <c r="K184" s="9" t="s">
        <v>32</v>
      </c>
      <c r="L184" s="20">
        <v>-0.5</v>
      </c>
      <c r="M184" s="14">
        <v>0.5</v>
      </c>
      <c r="AD184" s="14">
        <v>0</v>
      </c>
      <c r="AE184" s="14">
        <v>1</v>
      </c>
      <c r="AG184" s="14" t="s">
        <v>305</v>
      </c>
    </row>
    <row r="185" spans="1:33" s="14" customFormat="1" x14ac:dyDescent="0.25">
      <c r="A185" s="10" t="s">
        <v>303</v>
      </c>
      <c r="B185" s="10"/>
      <c r="C185" s="10">
        <v>1</v>
      </c>
      <c r="D185" s="11">
        <v>41932</v>
      </c>
      <c r="E185" s="12">
        <v>43236</v>
      </c>
      <c r="F185" s="26" t="str">
        <f t="shared" si="6"/>
        <v>42 : 26</v>
      </c>
      <c r="G185" s="14">
        <f t="shared" si="7"/>
        <v>1304</v>
      </c>
      <c r="H185" s="9">
        <v>7</v>
      </c>
      <c r="I185" s="9">
        <v>3</v>
      </c>
      <c r="J185" s="9" t="s">
        <v>35</v>
      </c>
      <c r="K185" s="14" t="s">
        <v>32</v>
      </c>
      <c r="L185" s="20">
        <v>-0.5</v>
      </c>
      <c r="M185" s="14">
        <v>-0.5</v>
      </c>
      <c r="N185" s="14">
        <v>1</v>
      </c>
      <c r="S185" s="14">
        <v>0</v>
      </c>
      <c r="AF185" s="14" t="s">
        <v>306</v>
      </c>
      <c r="AG185" s="14" t="s">
        <v>80</v>
      </c>
    </row>
    <row r="186" spans="1:33" s="14" customFormat="1" x14ac:dyDescent="0.25">
      <c r="A186" s="10" t="s">
        <v>303</v>
      </c>
      <c r="B186" s="10"/>
      <c r="C186" s="10">
        <v>1</v>
      </c>
      <c r="D186" s="11">
        <v>41932</v>
      </c>
      <c r="E186" s="12">
        <v>43236</v>
      </c>
      <c r="F186" s="26" t="str">
        <f t="shared" si="6"/>
        <v>42 : 26</v>
      </c>
      <c r="G186" s="14">
        <f t="shared" si="7"/>
        <v>1304</v>
      </c>
      <c r="H186" s="9">
        <v>7</v>
      </c>
      <c r="I186" s="9">
        <v>2</v>
      </c>
      <c r="J186" s="9" t="s">
        <v>32</v>
      </c>
      <c r="K186" s="9" t="s">
        <v>33</v>
      </c>
      <c r="L186" s="20">
        <v>0.5</v>
      </c>
      <c r="M186" s="14">
        <v>-0.5</v>
      </c>
      <c r="AD186" s="14">
        <v>0</v>
      </c>
      <c r="AE186" s="14">
        <v>0</v>
      </c>
      <c r="AG186" s="14" t="s">
        <v>307</v>
      </c>
    </row>
    <row r="187" spans="1:33" s="14" customFormat="1" x14ac:dyDescent="0.25">
      <c r="A187" s="10" t="s">
        <v>303</v>
      </c>
      <c r="B187" s="10"/>
      <c r="C187" s="10">
        <v>1</v>
      </c>
      <c r="D187" s="11">
        <v>41932</v>
      </c>
      <c r="E187" s="12">
        <v>43236</v>
      </c>
      <c r="F187" s="26" t="str">
        <f t="shared" si="6"/>
        <v>42 : 26</v>
      </c>
      <c r="G187" s="14">
        <f t="shared" si="7"/>
        <v>1304</v>
      </c>
      <c r="H187" s="9">
        <v>7</v>
      </c>
      <c r="I187" s="9">
        <v>1</v>
      </c>
      <c r="J187" s="9" t="s">
        <v>30</v>
      </c>
      <c r="K187" s="9" t="s">
        <v>30</v>
      </c>
      <c r="L187" s="20">
        <v>0.5</v>
      </c>
      <c r="M187" s="14">
        <v>0.5</v>
      </c>
      <c r="AD187" s="14">
        <v>0</v>
      </c>
      <c r="AE187" s="14">
        <v>0</v>
      </c>
      <c r="AG187" s="14" t="s">
        <v>53</v>
      </c>
    </row>
    <row r="188" spans="1:33" s="14" customFormat="1" x14ac:dyDescent="0.25">
      <c r="A188" s="10" t="s">
        <v>303</v>
      </c>
      <c r="B188" s="10"/>
      <c r="C188" s="10">
        <v>1</v>
      </c>
      <c r="D188" s="11">
        <v>41932</v>
      </c>
      <c r="E188" s="12">
        <v>43236</v>
      </c>
      <c r="F188" s="26" t="str">
        <f t="shared" si="6"/>
        <v>42 : 26</v>
      </c>
      <c r="G188" s="14">
        <f t="shared" si="7"/>
        <v>1304</v>
      </c>
      <c r="H188" s="9">
        <v>7</v>
      </c>
      <c r="I188" s="9">
        <v>12</v>
      </c>
      <c r="J188" s="9" t="s">
        <v>30</v>
      </c>
      <c r="K188" s="9" t="s">
        <v>39</v>
      </c>
      <c r="L188" s="20">
        <v>-0.5</v>
      </c>
      <c r="M188" s="14">
        <v>-0.5</v>
      </c>
      <c r="AD188" s="14">
        <v>0</v>
      </c>
      <c r="AE188" s="14">
        <v>1</v>
      </c>
      <c r="AG188" s="14" t="s">
        <v>93</v>
      </c>
    </row>
    <row r="189" spans="1:33" s="14" customFormat="1" x14ac:dyDescent="0.25">
      <c r="A189" s="10" t="s">
        <v>303</v>
      </c>
      <c r="B189" s="10"/>
      <c r="C189" s="10">
        <v>1</v>
      </c>
      <c r="D189" s="11">
        <v>41932</v>
      </c>
      <c r="E189" s="12">
        <v>43236</v>
      </c>
      <c r="F189" s="26" t="str">
        <f t="shared" si="6"/>
        <v>42 : 26</v>
      </c>
      <c r="G189" s="14">
        <f t="shared" si="7"/>
        <v>1304</v>
      </c>
      <c r="H189" s="9">
        <v>7</v>
      </c>
      <c r="I189" s="9">
        <v>11</v>
      </c>
      <c r="J189" s="9" t="s">
        <v>40</v>
      </c>
      <c r="K189" s="9" t="s">
        <v>40</v>
      </c>
      <c r="L189" s="20">
        <v>0.5</v>
      </c>
      <c r="M189" s="14">
        <v>0.5</v>
      </c>
      <c r="AD189" s="14">
        <v>0</v>
      </c>
      <c r="AE189" s="14">
        <v>0</v>
      </c>
      <c r="AG189" s="14" t="s">
        <v>308</v>
      </c>
    </row>
    <row r="190" spans="1:33" s="14" customFormat="1" x14ac:dyDescent="0.25">
      <c r="A190" s="10" t="s">
        <v>303</v>
      </c>
      <c r="B190" s="10"/>
      <c r="C190" s="10">
        <v>1</v>
      </c>
      <c r="D190" s="11">
        <v>41932</v>
      </c>
      <c r="E190" s="12">
        <v>43236</v>
      </c>
      <c r="F190" s="26" t="str">
        <f t="shared" si="6"/>
        <v>42 : 26</v>
      </c>
      <c r="G190" s="14">
        <f t="shared" si="7"/>
        <v>1304</v>
      </c>
      <c r="H190" s="9">
        <v>7</v>
      </c>
      <c r="I190" s="9">
        <v>10</v>
      </c>
      <c r="J190" s="9" t="s">
        <v>33</v>
      </c>
      <c r="K190" s="9" t="s">
        <v>33</v>
      </c>
      <c r="L190" s="20">
        <v>-0.5</v>
      </c>
      <c r="M190" s="14">
        <v>0.5</v>
      </c>
      <c r="R190" s="14">
        <v>1</v>
      </c>
      <c r="AD190" s="14">
        <v>0</v>
      </c>
      <c r="AE190" s="14">
        <v>1</v>
      </c>
      <c r="AF190" s="14" t="s">
        <v>309</v>
      </c>
      <c r="AG190" s="14" t="s">
        <v>80</v>
      </c>
    </row>
    <row r="191" spans="1:33" s="14" customFormat="1" x14ac:dyDescent="0.25">
      <c r="A191" s="10" t="s">
        <v>303</v>
      </c>
      <c r="B191" s="10"/>
      <c r="C191" s="10">
        <v>1</v>
      </c>
      <c r="D191" s="11">
        <v>41932</v>
      </c>
      <c r="E191" s="12">
        <v>43236</v>
      </c>
      <c r="F191" s="26" t="str">
        <f t="shared" si="6"/>
        <v>42 : 26</v>
      </c>
      <c r="G191" s="14">
        <f t="shared" si="7"/>
        <v>1304</v>
      </c>
      <c r="H191" s="9">
        <v>7</v>
      </c>
      <c r="I191" s="9">
        <v>9</v>
      </c>
      <c r="J191" s="9" t="s">
        <v>310</v>
      </c>
      <c r="K191" s="9" t="s">
        <v>30</v>
      </c>
      <c r="L191" s="20">
        <v>-0.5</v>
      </c>
      <c r="M191" s="14">
        <v>-0.5</v>
      </c>
      <c r="AD191" s="14">
        <v>0</v>
      </c>
      <c r="AE191" s="14">
        <v>1</v>
      </c>
      <c r="AG191" s="14" t="s">
        <v>90</v>
      </c>
    </row>
    <row r="192" spans="1:33" s="14" customFormat="1" x14ac:dyDescent="0.25">
      <c r="A192" s="10" t="s">
        <v>303</v>
      </c>
      <c r="B192" s="10"/>
      <c r="C192" s="10">
        <v>1</v>
      </c>
      <c r="D192" s="11">
        <v>41932</v>
      </c>
      <c r="E192" s="12">
        <v>43236</v>
      </c>
      <c r="F192" s="26" t="str">
        <f t="shared" si="6"/>
        <v>42 : 26</v>
      </c>
      <c r="G192" s="14">
        <f t="shared" si="7"/>
        <v>1304</v>
      </c>
      <c r="H192" s="9">
        <v>7</v>
      </c>
      <c r="I192" s="9">
        <v>8</v>
      </c>
      <c r="J192" s="9" t="s">
        <v>35</v>
      </c>
      <c r="K192" s="9" t="s">
        <v>32</v>
      </c>
      <c r="L192" s="20">
        <v>0.5</v>
      </c>
      <c r="M192" s="14">
        <v>-0.5</v>
      </c>
      <c r="U192" s="14">
        <v>1</v>
      </c>
      <c r="AD192" s="14">
        <v>0</v>
      </c>
      <c r="AE192" s="14">
        <v>0</v>
      </c>
      <c r="AF192" s="14" t="s">
        <v>311</v>
      </c>
      <c r="AG192" s="14" t="s">
        <v>312</v>
      </c>
    </row>
    <row r="193" spans="1:36" s="14" customFormat="1" x14ac:dyDescent="0.25">
      <c r="A193" s="10" t="s">
        <v>303</v>
      </c>
      <c r="B193" s="10"/>
      <c r="C193" s="10">
        <v>1</v>
      </c>
      <c r="D193" s="11">
        <v>41932</v>
      </c>
      <c r="E193" s="12">
        <v>43236</v>
      </c>
      <c r="F193" s="26" t="str">
        <f t="shared" si="6"/>
        <v>42 : 26</v>
      </c>
      <c r="G193" s="14">
        <f t="shared" si="7"/>
        <v>1304</v>
      </c>
      <c r="H193" s="9">
        <v>7</v>
      </c>
      <c r="I193" s="9">
        <v>7</v>
      </c>
      <c r="J193" s="9" t="s">
        <v>39</v>
      </c>
      <c r="K193" s="9" t="s">
        <v>39</v>
      </c>
      <c r="L193" s="20">
        <v>0.5</v>
      </c>
      <c r="M193" s="14">
        <v>0.5</v>
      </c>
      <c r="AD193" s="14">
        <v>0</v>
      </c>
      <c r="AE193" s="14">
        <v>0</v>
      </c>
      <c r="AG193" s="14" t="s">
        <v>313</v>
      </c>
    </row>
    <row r="194" spans="1:36" s="14" customFormat="1" x14ac:dyDescent="0.25">
      <c r="A194" s="10" t="s">
        <v>314</v>
      </c>
      <c r="B194" s="10"/>
      <c r="C194" s="10">
        <v>0</v>
      </c>
      <c r="D194" s="11">
        <v>41927</v>
      </c>
      <c r="E194" s="12">
        <v>43235</v>
      </c>
      <c r="F194" s="26" t="str">
        <f t="shared" si="6"/>
        <v>43 : 0</v>
      </c>
      <c r="G194" s="14">
        <f t="shared" si="7"/>
        <v>1308</v>
      </c>
      <c r="H194" s="9">
        <v>6</v>
      </c>
      <c r="I194" s="9" t="s">
        <v>143</v>
      </c>
      <c r="J194" s="9" t="s">
        <v>40</v>
      </c>
      <c r="K194" s="9" t="s">
        <v>39</v>
      </c>
      <c r="L194" s="20">
        <v>0.5</v>
      </c>
      <c r="M194" s="14">
        <v>-0.5</v>
      </c>
      <c r="AD194" s="14">
        <v>1</v>
      </c>
      <c r="AE194" s="14">
        <v>1</v>
      </c>
      <c r="AG194" s="14" t="s">
        <v>315</v>
      </c>
    </row>
    <row r="195" spans="1:36" x14ac:dyDescent="0.25">
      <c r="A195" s="3" t="s">
        <v>314</v>
      </c>
      <c r="C195" s="3">
        <v>0</v>
      </c>
      <c r="D195" s="4">
        <v>41927</v>
      </c>
      <c r="E195" s="5">
        <v>43235</v>
      </c>
      <c r="F195" s="25" t="str">
        <f t="shared" si="6"/>
        <v>43 : 0</v>
      </c>
      <c r="G195">
        <f t="shared" si="7"/>
        <v>1308</v>
      </c>
      <c r="H195" s="7">
        <v>6</v>
      </c>
      <c r="I195" s="7" t="s">
        <v>145</v>
      </c>
      <c r="J195" s="7" t="s">
        <v>35</v>
      </c>
      <c r="K195" s="7" t="s">
        <v>33</v>
      </c>
      <c r="L195" s="19">
        <v>-0.5</v>
      </c>
      <c r="M195">
        <v>-0.5</v>
      </c>
      <c r="AD195" s="14">
        <v>1</v>
      </c>
      <c r="AE195" s="14">
        <v>0</v>
      </c>
      <c r="AF195" s="14"/>
      <c r="AG195" s="14" t="s">
        <v>316</v>
      </c>
      <c r="AH195" s="14"/>
      <c r="AI195" s="14"/>
      <c r="AJ195" s="14"/>
    </row>
    <row r="196" spans="1:36" x14ac:dyDescent="0.25">
      <c r="A196" s="3" t="s">
        <v>314</v>
      </c>
      <c r="C196" s="3">
        <v>0</v>
      </c>
      <c r="D196" s="4">
        <v>41927</v>
      </c>
      <c r="E196" s="5">
        <v>43235</v>
      </c>
      <c r="F196" s="25" t="str">
        <f t="shared" si="6"/>
        <v>43 : 0</v>
      </c>
      <c r="G196">
        <f t="shared" si="7"/>
        <v>1308</v>
      </c>
      <c r="H196" s="7">
        <v>6</v>
      </c>
      <c r="I196" s="7" t="s">
        <v>146</v>
      </c>
      <c r="J196" s="7" t="s">
        <v>32</v>
      </c>
      <c r="K196" s="7" t="s">
        <v>32</v>
      </c>
      <c r="L196" s="19">
        <v>0.5</v>
      </c>
      <c r="M196">
        <v>0.5</v>
      </c>
      <c r="AD196" s="14">
        <v>1</v>
      </c>
      <c r="AE196" s="14">
        <v>1</v>
      </c>
      <c r="AF196" s="14"/>
      <c r="AG196" s="14" t="s">
        <v>317</v>
      </c>
      <c r="AH196" s="14"/>
      <c r="AI196" s="14"/>
      <c r="AJ196" s="14"/>
    </row>
    <row r="197" spans="1:36" x14ac:dyDescent="0.25">
      <c r="A197" s="3" t="s">
        <v>314</v>
      </c>
      <c r="C197" s="3">
        <v>0</v>
      </c>
      <c r="D197" s="4">
        <v>41927</v>
      </c>
      <c r="E197" s="5">
        <v>43235</v>
      </c>
      <c r="F197" s="25" t="str">
        <f t="shared" si="6"/>
        <v>43 : 0</v>
      </c>
      <c r="G197">
        <f t="shared" si="7"/>
        <v>1308</v>
      </c>
      <c r="H197" s="7">
        <v>6</v>
      </c>
      <c r="I197" s="7" t="s">
        <v>147</v>
      </c>
      <c r="J197" s="7" t="s">
        <v>35</v>
      </c>
      <c r="K197" s="7" t="s">
        <v>35</v>
      </c>
      <c r="L197" s="19">
        <v>0.5</v>
      </c>
      <c r="M197">
        <v>0.5</v>
      </c>
      <c r="R197">
        <v>1</v>
      </c>
      <c r="S197">
        <v>1</v>
      </c>
      <c r="Y197">
        <v>1</v>
      </c>
      <c r="AD197" s="14">
        <v>1</v>
      </c>
      <c r="AE197" s="14">
        <v>1</v>
      </c>
      <c r="AF197" s="14" t="s">
        <v>318</v>
      </c>
      <c r="AG197" s="14" t="s">
        <v>319</v>
      </c>
      <c r="AH197" s="14"/>
      <c r="AI197" s="14"/>
      <c r="AJ197" s="14"/>
    </row>
    <row r="198" spans="1:36" x14ac:dyDescent="0.25">
      <c r="A198" s="3" t="s">
        <v>314</v>
      </c>
      <c r="C198" s="3">
        <v>0</v>
      </c>
      <c r="D198" s="4">
        <v>41927</v>
      </c>
      <c r="E198" s="5">
        <v>43235</v>
      </c>
      <c r="F198" s="25" t="str">
        <f t="shared" si="6"/>
        <v>43 : 0</v>
      </c>
      <c r="G198">
        <f t="shared" si="7"/>
        <v>1308</v>
      </c>
      <c r="H198" s="7">
        <v>6</v>
      </c>
      <c r="I198" s="7" t="s">
        <v>148</v>
      </c>
      <c r="J198" s="7" t="s">
        <v>33</v>
      </c>
      <c r="K198" s="7" t="s">
        <v>32</v>
      </c>
      <c r="L198" s="19">
        <v>-0.5</v>
      </c>
      <c r="M198">
        <v>-0.5</v>
      </c>
      <c r="AD198" s="14">
        <v>1</v>
      </c>
      <c r="AE198" s="14">
        <v>0</v>
      </c>
      <c r="AF198" s="14"/>
      <c r="AG198" s="14" t="s">
        <v>209</v>
      </c>
      <c r="AH198" s="14"/>
      <c r="AI198" s="14"/>
      <c r="AJ198" s="14"/>
    </row>
    <row r="199" spans="1:36" x14ac:dyDescent="0.25">
      <c r="A199" s="3" t="s">
        <v>314</v>
      </c>
      <c r="C199" s="3">
        <v>0</v>
      </c>
      <c r="D199" s="4">
        <v>41927</v>
      </c>
      <c r="E199" s="5">
        <v>43235</v>
      </c>
      <c r="F199" s="25" t="str">
        <f t="shared" si="6"/>
        <v>43 : 0</v>
      </c>
      <c r="G199">
        <f t="shared" si="7"/>
        <v>1308</v>
      </c>
      <c r="H199" s="7">
        <v>6</v>
      </c>
      <c r="I199" s="7" t="s">
        <v>152</v>
      </c>
      <c r="J199" s="7" t="s">
        <v>30</v>
      </c>
      <c r="K199" s="7" t="s">
        <v>30</v>
      </c>
      <c r="L199" s="19">
        <v>-0.5</v>
      </c>
      <c r="M199">
        <v>0.5</v>
      </c>
      <c r="AD199" s="14">
        <v>0</v>
      </c>
      <c r="AE199" s="14">
        <v>1</v>
      </c>
      <c r="AF199" s="14"/>
      <c r="AG199" s="14" t="s">
        <v>320</v>
      </c>
      <c r="AH199" s="14"/>
      <c r="AI199" s="14"/>
      <c r="AJ199" s="14"/>
    </row>
    <row r="200" spans="1:36" x14ac:dyDescent="0.25">
      <c r="A200" s="3" t="s">
        <v>314</v>
      </c>
      <c r="C200" s="3">
        <v>0</v>
      </c>
      <c r="D200" s="4">
        <v>41927</v>
      </c>
      <c r="E200" s="5">
        <v>43235</v>
      </c>
      <c r="F200" s="25" t="str">
        <f t="shared" si="6"/>
        <v>43 : 0</v>
      </c>
      <c r="G200">
        <f t="shared" si="7"/>
        <v>1308</v>
      </c>
      <c r="H200" s="7">
        <v>6</v>
      </c>
      <c r="I200" s="7" t="s">
        <v>153</v>
      </c>
      <c r="J200" s="7" t="s">
        <v>39</v>
      </c>
      <c r="K200" s="7" t="s">
        <v>39</v>
      </c>
      <c r="L200" s="19">
        <v>0.5</v>
      </c>
      <c r="M200" s="7">
        <v>0.5</v>
      </c>
      <c r="O200">
        <v>1</v>
      </c>
      <c r="AD200" s="14">
        <v>1</v>
      </c>
      <c r="AE200" s="14">
        <v>1</v>
      </c>
      <c r="AF200" s="14"/>
      <c r="AG200" s="14" t="s">
        <v>321</v>
      </c>
      <c r="AH200" s="14"/>
      <c r="AI200" s="14"/>
      <c r="AJ200" s="14"/>
    </row>
    <row r="201" spans="1:36" x14ac:dyDescent="0.25">
      <c r="A201" s="3" t="s">
        <v>314</v>
      </c>
      <c r="C201" s="3">
        <v>0</v>
      </c>
      <c r="D201" s="4">
        <v>41927</v>
      </c>
      <c r="E201" s="5">
        <v>43235</v>
      </c>
      <c r="F201" s="25" t="str">
        <f t="shared" si="6"/>
        <v>43 : 0</v>
      </c>
      <c r="G201">
        <f t="shared" si="7"/>
        <v>1308</v>
      </c>
      <c r="H201" s="7">
        <v>6</v>
      </c>
      <c r="I201" s="7" t="s">
        <v>154</v>
      </c>
      <c r="J201" s="7" t="s">
        <v>40</v>
      </c>
      <c r="K201" s="7" t="s">
        <v>40</v>
      </c>
      <c r="L201" s="19">
        <v>-0.5</v>
      </c>
      <c r="M201">
        <v>0.5</v>
      </c>
      <c r="AD201" s="14">
        <v>0</v>
      </c>
      <c r="AE201" s="14">
        <v>1</v>
      </c>
      <c r="AF201" s="14"/>
      <c r="AG201" s="14" t="s">
        <v>84</v>
      </c>
      <c r="AH201" s="14"/>
      <c r="AI201" s="14"/>
      <c r="AJ201" s="14"/>
    </row>
    <row r="202" spans="1:36" x14ac:dyDescent="0.25">
      <c r="A202" s="3" t="s">
        <v>314</v>
      </c>
      <c r="C202" s="3">
        <v>0</v>
      </c>
      <c r="D202" s="4">
        <v>41927</v>
      </c>
      <c r="E202" s="5">
        <v>43235</v>
      </c>
      <c r="F202" s="25" t="str">
        <f t="shared" si="6"/>
        <v>43 : 0</v>
      </c>
      <c r="G202">
        <f t="shared" si="7"/>
        <v>1308</v>
      </c>
      <c r="H202" s="7">
        <v>6</v>
      </c>
      <c r="I202" s="7" t="s">
        <v>155</v>
      </c>
      <c r="J202" s="7" t="s">
        <v>33</v>
      </c>
      <c r="K202" s="7" t="s">
        <v>33</v>
      </c>
      <c r="L202" s="19">
        <v>0.5</v>
      </c>
      <c r="M202">
        <v>0.5</v>
      </c>
      <c r="AD202" s="14">
        <v>1</v>
      </c>
      <c r="AE202" s="14">
        <v>1</v>
      </c>
      <c r="AF202" s="14"/>
      <c r="AG202" s="14" t="s">
        <v>322</v>
      </c>
      <c r="AH202" s="14"/>
      <c r="AI202" s="14"/>
      <c r="AJ202" s="14"/>
    </row>
    <row r="203" spans="1:36" x14ac:dyDescent="0.25">
      <c r="A203" s="3" t="s">
        <v>314</v>
      </c>
      <c r="C203" s="3">
        <v>0</v>
      </c>
      <c r="D203" s="4">
        <v>41927</v>
      </c>
      <c r="E203" s="5">
        <v>43235</v>
      </c>
      <c r="F203" s="25" t="str">
        <f t="shared" si="6"/>
        <v>43 : 0</v>
      </c>
      <c r="G203">
        <f t="shared" si="7"/>
        <v>1308</v>
      </c>
      <c r="H203" s="7">
        <v>6</v>
      </c>
      <c r="I203" s="7" t="s">
        <v>156</v>
      </c>
      <c r="J203" s="7" t="s">
        <v>30</v>
      </c>
      <c r="K203" s="7" t="s">
        <v>40</v>
      </c>
      <c r="L203" s="19">
        <v>0.5</v>
      </c>
      <c r="M203">
        <v>-0.5</v>
      </c>
      <c r="AD203" s="14">
        <v>0</v>
      </c>
      <c r="AE203" s="14">
        <v>0</v>
      </c>
      <c r="AF203" s="14"/>
      <c r="AG203" s="14" t="s">
        <v>323</v>
      </c>
      <c r="AH203" s="14"/>
      <c r="AI203" s="14"/>
      <c r="AJ203" s="14"/>
    </row>
    <row r="204" spans="1:36" x14ac:dyDescent="0.25">
      <c r="A204" s="3" t="s">
        <v>314</v>
      </c>
      <c r="C204" s="3">
        <v>0</v>
      </c>
      <c r="D204" s="4">
        <v>41927</v>
      </c>
      <c r="E204" s="5">
        <v>43235</v>
      </c>
      <c r="F204" s="25" t="str">
        <f t="shared" si="6"/>
        <v>43 : 0</v>
      </c>
      <c r="G204">
        <f t="shared" si="7"/>
        <v>1308</v>
      </c>
      <c r="H204" s="7">
        <v>6</v>
      </c>
      <c r="I204" s="7" t="s">
        <v>157</v>
      </c>
      <c r="J204" s="7" t="s">
        <v>32</v>
      </c>
      <c r="K204" s="7" t="s">
        <v>35</v>
      </c>
      <c r="L204" s="19">
        <v>-0.5</v>
      </c>
      <c r="M204">
        <v>-0.5</v>
      </c>
      <c r="AD204" s="14">
        <v>0</v>
      </c>
      <c r="AE204" s="14">
        <v>1</v>
      </c>
      <c r="AF204" s="14"/>
      <c r="AG204" s="14" t="s">
        <v>217</v>
      </c>
      <c r="AH204" s="14"/>
      <c r="AI204" s="14"/>
      <c r="AJ204" s="14"/>
    </row>
    <row r="205" spans="1:36" x14ac:dyDescent="0.25">
      <c r="A205" s="3" t="s">
        <v>314</v>
      </c>
      <c r="C205" s="3">
        <v>0</v>
      </c>
      <c r="D205" s="4">
        <v>41927</v>
      </c>
      <c r="E205" s="5">
        <v>43235</v>
      </c>
      <c r="F205" s="25" t="str">
        <f t="shared" si="6"/>
        <v>43 : 0</v>
      </c>
      <c r="G205">
        <f t="shared" si="7"/>
        <v>1308</v>
      </c>
      <c r="H205" s="7">
        <v>6</v>
      </c>
      <c r="I205" s="7" t="s">
        <v>158</v>
      </c>
      <c r="J205" s="7" t="s">
        <v>39</v>
      </c>
      <c r="K205" s="7" t="s">
        <v>39</v>
      </c>
      <c r="L205" s="19">
        <v>-0.5</v>
      </c>
      <c r="M205">
        <v>0.5</v>
      </c>
      <c r="AD205" s="14">
        <v>0</v>
      </c>
      <c r="AE205" s="14">
        <v>1</v>
      </c>
      <c r="AF205" s="14" t="s">
        <v>324</v>
      </c>
      <c r="AG205" t="s">
        <v>51</v>
      </c>
      <c r="AH205" s="14"/>
      <c r="AI205" s="14"/>
      <c r="AJ205" s="14"/>
    </row>
    <row r="206" spans="1:36" s="14" customFormat="1" x14ac:dyDescent="0.25">
      <c r="A206" s="10" t="s">
        <v>325</v>
      </c>
      <c r="B206" s="10"/>
      <c r="C206" s="10">
        <v>1</v>
      </c>
      <c r="D206" s="11">
        <v>41942</v>
      </c>
      <c r="E206" s="12">
        <v>43236</v>
      </c>
      <c r="F206" s="26" t="str">
        <f t="shared" si="6"/>
        <v>42 : 16</v>
      </c>
      <c r="G206" s="14">
        <f t="shared" si="7"/>
        <v>1294</v>
      </c>
      <c r="H206" s="9">
        <v>8</v>
      </c>
      <c r="I206" s="9" t="s">
        <v>143</v>
      </c>
      <c r="J206" s="9" t="s">
        <v>40</v>
      </c>
      <c r="K206" s="9" t="s">
        <v>39</v>
      </c>
      <c r="L206" s="20">
        <v>-0.5</v>
      </c>
      <c r="M206" s="14">
        <v>-0.5</v>
      </c>
      <c r="Y206" s="14">
        <v>1</v>
      </c>
      <c r="AD206" s="14">
        <v>1</v>
      </c>
      <c r="AE206" s="14">
        <v>0</v>
      </c>
      <c r="AF206" s="14" t="s">
        <v>326</v>
      </c>
      <c r="AG206" s="14" t="s">
        <v>327</v>
      </c>
    </row>
    <row r="207" spans="1:36" s="14" customFormat="1" x14ac:dyDescent="0.25">
      <c r="A207" s="10" t="s">
        <v>325</v>
      </c>
      <c r="B207" s="10"/>
      <c r="C207" s="10">
        <v>1</v>
      </c>
      <c r="D207" s="11">
        <v>41942</v>
      </c>
      <c r="E207" s="12">
        <v>43236</v>
      </c>
      <c r="F207" s="26" t="str">
        <f t="shared" si="6"/>
        <v>42 : 16</v>
      </c>
      <c r="G207" s="14">
        <f t="shared" si="7"/>
        <v>1294</v>
      </c>
      <c r="H207" s="9">
        <v>8</v>
      </c>
      <c r="I207" s="9" t="s">
        <v>145</v>
      </c>
      <c r="J207" s="9" t="s">
        <v>35</v>
      </c>
      <c r="K207" s="9" t="s">
        <v>33</v>
      </c>
      <c r="L207" s="20">
        <v>0.5</v>
      </c>
      <c r="M207" s="14">
        <v>-0.5</v>
      </c>
      <c r="V207" s="14" t="s">
        <v>197</v>
      </c>
      <c r="W207" s="14">
        <v>1</v>
      </c>
      <c r="AD207" s="14">
        <v>0</v>
      </c>
      <c r="AE207" s="14">
        <v>0</v>
      </c>
      <c r="AG207" s="14" t="s">
        <v>328</v>
      </c>
    </row>
    <row r="208" spans="1:36" s="14" customFormat="1" x14ac:dyDescent="0.25">
      <c r="A208" s="10" t="s">
        <v>325</v>
      </c>
      <c r="B208" s="10"/>
      <c r="C208" s="10">
        <v>1</v>
      </c>
      <c r="D208" s="11">
        <v>41942</v>
      </c>
      <c r="E208" s="12">
        <v>43236</v>
      </c>
      <c r="F208" s="26" t="str">
        <f t="shared" si="6"/>
        <v>42 : 16</v>
      </c>
      <c r="G208" s="14">
        <f t="shared" si="7"/>
        <v>1294</v>
      </c>
      <c r="H208" s="9">
        <v>8</v>
      </c>
      <c r="I208" s="9" t="s">
        <v>146</v>
      </c>
      <c r="J208" s="9" t="s">
        <v>32</v>
      </c>
      <c r="K208" s="9" t="s">
        <v>32</v>
      </c>
      <c r="L208" s="20">
        <v>-0.5</v>
      </c>
      <c r="M208" s="14">
        <v>0.5</v>
      </c>
      <c r="AD208" s="14">
        <v>1</v>
      </c>
      <c r="AE208" s="14">
        <v>0</v>
      </c>
      <c r="AG208" s="14" t="s">
        <v>317</v>
      </c>
    </row>
    <row r="209" spans="1:33" s="14" customFormat="1" x14ac:dyDescent="0.25">
      <c r="A209" s="10" t="s">
        <v>325</v>
      </c>
      <c r="B209" s="10"/>
      <c r="C209" s="10">
        <v>1</v>
      </c>
      <c r="D209" s="11">
        <v>41942</v>
      </c>
      <c r="E209" s="12">
        <v>43236</v>
      </c>
      <c r="F209" s="26" t="str">
        <f t="shared" si="6"/>
        <v>42 : 16</v>
      </c>
      <c r="G209" s="14">
        <f t="shared" si="7"/>
        <v>1294</v>
      </c>
      <c r="H209" s="9">
        <v>8</v>
      </c>
      <c r="I209" s="9" t="s">
        <v>147</v>
      </c>
      <c r="J209" s="9" t="s">
        <v>35</v>
      </c>
      <c r="K209" s="9" t="s">
        <v>35</v>
      </c>
      <c r="L209" s="20">
        <v>-0.5</v>
      </c>
      <c r="M209" s="14">
        <v>0.5</v>
      </c>
      <c r="AD209" s="14">
        <v>0</v>
      </c>
      <c r="AE209" s="14">
        <v>1</v>
      </c>
      <c r="AG209" s="14" t="s">
        <v>329</v>
      </c>
    </row>
    <row r="210" spans="1:33" s="14" customFormat="1" x14ac:dyDescent="0.25">
      <c r="A210" s="10" t="s">
        <v>325</v>
      </c>
      <c r="B210" s="10"/>
      <c r="C210" s="10">
        <v>1</v>
      </c>
      <c r="D210" s="11">
        <v>41942</v>
      </c>
      <c r="E210" s="12">
        <v>43236</v>
      </c>
      <c r="F210" s="26" t="str">
        <f t="shared" si="6"/>
        <v>42 : 16</v>
      </c>
      <c r="G210" s="14">
        <f t="shared" si="7"/>
        <v>1294</v>
      </c>
      <c r="H210" s="9">
        <v>8</v>
      </c>
      <c r="I210" s="9" t="s">
        <v>148</v>
      </c>
      <c r="J210" s="9" t="s">
        <v>33</v>
      </c>
      <c r="K210" s="9" t="s">
        <v>32</v>
      </c>
      <c r="L210" s="20">
        <v>0.5</v>
      </c>
      <c r="M210" s="14">
        <v>-0.5</v>
      </c>
      <c r="AD210" s="14">
        <v>1</v>
      </c>
      <c r="AE210" s="14">
        <v>1</v>
      </c>
      <c r="AG210" s="14" t="s">
        <v>330</v>
      </c>
    </row>
    <row r="211" spans="1:33" s="14" customFormat="1" x14ac:dyDescent="0.25">
      <c r="A211" s="10" t="s">
        <v>325</v>
      </c>
      <c r="B211" s="10"/>
      <c r="C211" s="10">
        <v>1</v>
      </c>
      <c r="D211" s="11">
        <v>41942</v>
      </c>
      <c r="E211" s="12">
        <v>43236</v>
      </c>
      <c r="F211" s="26" t="str">
        <f t="shared" si="6"/>
        <v>42 : 16</v>
      </c>
      <c r="G211" s="14">
        <f t="shared" si="7"/>
        <v>1294</v>
      </c>
      <c r="H211" s="9">
        <v>8</v>
      </c>
      <c r="I211" s="9" t="s">
        <v>152</v>
      </c>
      <c r="J211" s="9" t="s">
        <v>30</v>
      </c>
      <c r="K211" s="9" t="s">
        <v>30</v>
      </c>
      <c r="L211" s="20">
        <v>0.5</v>
      </c>
      <c r="M211" s="14">
        <v>0.5</v>
      </c>
      <c r="AD211" s="14">
        <v>1</v>
      </c>
      <c r="AE211" s="14">
        <v>1</v>
      </c>
      <c r="AG211" s="14" t="s">
        <v>331</v>
      </c>
    </row>
    <row r="212" spans="1:33" s="14" customFormat="1" x14ac:dyDescent="0.25">
      <c r="A212" s="10" t="s">
        <v>325</v>
      </c>
      <c r="B212" s="10"/>
      <c r="C212" s="10">
        <v>1</v>
      </c>
      <c r="D212" s="11">
        <v>41942</v>
      </c>
      <c r="E212" s="12">
        <v>43236</v>
      </c>
      <c r="F212" s="26" t="str">
        <f t="shared" si="6"/>
        <v>42 : 16</v>
      </c>
      <c r="G212" s="14">
        <f t="shared" si="7"/>
        <v>1294</v>
      </c>
      <c r="H212" s="9">
        <v>8</v>
      </c>
      <c r="I212" s="9" t="s">
        <v>153</v>
      </c>
      <c r="J212" s="9" t="s">
        <v>39</v>
      </c>
      <c r="K212" s="9" t="s">
        <v>39</v>
      </c>
      <c r="L212" s="20">
        <v>-0.5</v>
      </c>
      <c r="M212" s="9">
        <v>0.5</v>
      </c>
      <c r="O212" s="14">
        <v>1</v>
      </c>
      <c r="AD212" s="14">
        <v>1</v>
      </c>
      <c r="AE212" s="14">
        <v>0</v>
      </c>
      <c r="AG212" s="14" t="s">
        <v>332</v>
      </c>
    </row>
    <row r="213" spans="1:33" s="14" customFormat="1" x14ac:dyDescent="0.25">
      <c r="A213" s="10" t="s">
        <v>325</v>
      </c>
      <c r="B213" s="10"/>
      <c r="C213" s="10">
        <v>1</v>
      </c>
      <c r="D213" s="11">
        <v>41942</v>
      </c>
      <c r="E213" s="12">
        <v>43236</v>
      </c>
      <c r="F213" s="26" t="str">
        <f t="shared" si="6"/>
        <v>42 : 16</v>
      </c>
      <c r="G213" s="14">
        <f t="shared" si="7"/>
        <v>1294</v>
      </c>
      <c r="H213" s="9">
        <v>8</v>
      </c>
      <c r="I213" s="9" t="s">
        <v>154</v>
      </c>
      <c r="J213" s="9" t="s">
        <v>40</v>
      </c>
      <c r="K213" s="9" t="s">
        <v>40</v>
      </c>
      <c r="L213" s="20">
        <v>0.5</v>
      </c>
      <c r="M213" s="14">
        <v>0.5</v>
      </c>
      <c r="AD213" s="14">
        <v>1</v>
      </c>
      <c r="AE213" s="14">
        <v>1</v>
      </c>
      <c r="AG213" s="14" t="s">
        <v>333</v>
      </c>
    </row>
    <row r="214" spans="1:33" s="14" customFormat="1" x14ac:dyDescent="0.25">
      <c r="A214" s="10" t="s">
        <v>325</v>
      </c>
      <c r="B214" s="10"/>
      <c r="C214" s="10">
        <v>1</v>
      </c>
      <c r="D214" s="11">
        <v>41942</v>
      </c>
      <c r="E214" s="12">
        <v>43236</v>
      </c>
      <c r="F214" s="26" t="str">
        <f t="shared" si="6"/>
        <v>42 : 16</v>
      </c>
      <c r="G214" s="14">
        <f t="shared" si="7"/>
        <v>1294</v>
      </c>
      <c r="H214" s="9">
        <v>8</v>
      </c>
      <c r="I214" s="9" t="s">
        <v>155</v>
      </c>
      <c r="J214" s="9" t="s">
        <v>33</v>
      </c>
      <c r="K214" s="9" t="s">
        <v>33</v>
      </c>
      <c r="L214" s="20">
        <v>-0.5</v>
      </c>
      <c r="M214" s="14">
        <v>0.5</v>
      </c>
      <c r="V214" s="14" t="s">
        <v>197</v>
      </c>
      <c r="W214" s="14">
        <v>1</v>
      </c>
      <c r="AD214" s="14">
        <v>0</v>
      </c>
      <c r="AE214" s="14">
        <v>1</v>
      </c>
      <c r="AG214" s="14" t="s">
        <v>334</v>
      </c>
    </row>
    <row r="215" spans="1:33" s="14" customFormat="1" x14ac:dyDescent="0.25">
      <c r="A215" s="10" t="s">
        <v>325</v>
      </c>
      <c r="B215" s="10"/>
      <c r="C215" s="10">
        <v>1</v>
      </c>
      <c r="D215" s="11">
        <v>41942</v>
      </c>
      <c r="E215" s="12">
        <v>43236</v>
      </c>
      <c r="F215" s="26" t="str">
        <f t="shared" si="6"/>
        <v>42 : 16</v>
      </c>
      <c r="G215" s="14">
        <f t="shared" si="7"/>
        <v>1294</v>
      </c>
      <c r="H215" s="9">
        <v>8</v>
      </c>
      <c r="I215" s="9" t="s">
        <v>156</v>
      </c>
      <c r="J215" s="9" t="s">
        <v>30</v>
      </c>
      <c r="K215" s="9" t="s">
        <v>40</v>
      </c>
      <c r="L215" s="20">
        <v>-0.5</v>
      </c>
      <c r="M215" s="14">
        <v>-0.5</v>
      </c>
      <c r="AD215" s="14">
        <v>0</v>
      </c>
      <c r="AE215" s="14">
        <v>1</v>
      </c>
      <c r="AG215" s="14" t="s">
        <v>53</v>
      </c>
    </row>
    <row r="216" spans="1:33" s="14" customFormat="1" x14ac:dyDescent="0.25">
      <c r="A216" s="10" t="s">
        <v>325</v>
      </c>
      <c r="B216" s="10"/>
      <c r="C216" s="10">
        <v>1</v>
      </c>
      <c r="D216" s="11">
        <v>41942</v>
      </c>
      <c r="E216" s="12">
        <v>43236</v>
      </c>
      <c r="F216" s="26" t="str">
        <f t="shared" si="6"/>
        <v>42 : 16</v>
      </c>
      <c r="G216" s="14">
        <f t="shared" si="7"/>
        <v>1294</v>
      </c>
      <c r="H216" s="9">
        <v>8</v>
      </c>
      <c r="I216" s="9" t="s">
        <v>157</v>
      </c>
      <c r="J216" s="9" t="s">
        <v>32</v>
      </c>
      <c r="K216" s="9" t="s">
        <v>30</v>
      </c>
      <c r="L216" s="20">
        <v>0.5</v>
      </c>
      <c r="M216" s="14">
        <v>-0.5</v>
      </c>
      <c r="N216" s="14">
        <v>1</v>
      </c>
      <c r="P216" s="14">
        <v>1</v>
      </c>
      <c r="AD216" s="14">
        <v>1</v>
      </c>
      <c r="AE216" s="14">
        <v>1</v>
      </c>
      <c r="AF216" s="14" t="s">
        <v>335</v>
      </c>
      <c r="AG216" s="14" t="s">
        <v>336</v>
      </c>
    </row>
    <row r="217" spans="1:33" s="14" customFormat="1" x14ac:dyDescent="0.25">
      <c r="A217" s="10" t="s">
        <v>325</v>
      </c>
      <c r="B217" s="10"/>
      <c r="C217" s="10">
        <v>1</v>
      </c>
      <c r="D217" s="11">
        <v>41942</v>
      </c>
      <c r="E217" s="12">
        <v>43236</v>
      </c>
      <c r="F217" s="26" t="str">
        <f t="shared" si="6"/>
        <v>42 : 16</v>
      </c>
      <c r="G217" s="14">
        <f t="shared" si="7"/>
        <v>1294</v>
      </c>
      <c r="H217" s="9">
        <v>8</v>
      </c>
      <c r="I217" s="9" t="s">
        <v>158</v>
      </c>
      <c r="J217" s="9" t="s">
        <v>39</v>
      </c>
      <c r="K217" s="9" t="s">
        <v>39</v>
      </c>
      <c r="L217" s="20">
        <v>0.5</v>
      </c>
      <c r="M217" s="14">
        <v>0.5</v>
      </c>
      <c r="Q217" s="14">
        <v>1</v>
      </c>
      <c r="T217" s="14">
        <v>1</v>
      </c>
      <c r="AD217" s="14">
        <v>1</v>
      </c>
      <c r="AE217" s="14">
        <v>1</v>
      </c>
      <c r="AF217" s="14" t="s">
        <v>337</v>
      </c>
      <c r="AG217" s="14" t="s">
        <v>338</v>
      </c>
    </row>
    <row r="218" spans="1:33" s="14" customFormat="1" x14ac:dyDescent="0.25">
      <c r="A218" s="10" t="s">
        <v>344</v>
      </c>
      <c r="B218" s="10"/>
      <c r="C218" s="10">
        <v>1</v>
      </c>
      <c r="D218" s="11">
        <v>41934</v>
      </c>
      <c r="E218" s="12">
        <v>43238</v>
      </c>
      <c r="F218" s="26" t="str">
        <f t="shared" si="6"/>
        <v>42 : 26</v>
      </c>
      <c r="G218" s="14">
        <f t="shared" si="7"/>
        <v>1304</v>
      </c>
      <c r="H218" s="9">
        <v>3</v>
      </c>
      <c r="I218" s="9">
        <v>1</v>
      </c>
      <c r="J218" s="9" t="s">
        <v>30</v>
      </c>
      <c r="K218" s="9" t="s">
        <v>30</v>
      </c>
      <c r="L218" s="15">
        <v>0.5</v>
      </c>
      <c r="M218" s="14">
        <v>0.5</v>
      </c>
      <c r="AD218" s="14">
        <v>0</v>
      </c>
      <c r="AE218" s="14">
        <v>0</v>
      </c>
      <c r="AG218" s="14" t="s">
        <v>53</v>
      </c>
    </row>
    <row r="219" spans="1:33" s="14" customFormat="1" x14ac:dyDescent="0.25">
      <c r="A219" s="10" t="s">
        <v>344</v>
      </c>
      <c r="B219" s="10"/>
      <c r="C219" s="10">
        <v>1</v>
      </c>
      <c r="D219" s="11">
        <v>41934</v>
      </c>
      <c r="E219" s="12">
        <v>43238</v>
      </c>
      <c r="F219" s="26" t="str">
        <f t="shared" si="6"/>
        <v>42 : 26</v>
      </c>
      <c r="G219" s="14">
        <f t="shared" si="7"/>
        <v>1304</v>
      </c>
      <c r="H219" s="9">
        <v>3</v>
      </c>
      <c r="I219" s="9">
        <v>2</v>
      </c>
      <c r="J219" s="9" t="s">
        <v>32</v>
      </c>
      <c r="K219" s="9" t="s">
        <v>33</v>
      </c>
      <c r="L219" s="15">
        <v>0.5</v>
      </c>
      <c r="M219" s="14">
        <v>-0.5</v>
      </c>
      <c r="AD219" s="14">
        <v>1</v>
      </c>
      <c r="AE219" s="14">
        <v>1</v>
      </c>
      <c r="AG219" s="14" t="s">
        <v>345</v>
      </c>
    </row>
    <row r="220" spans="1:33" s="14" customFormat="1" x14ac:dyDescent="0.25">
      <c r="A220" s="10" t="s">
        <v>344</v>
      </c>
      <c r="B220" s="10"/>
      <c r="C220" s="10">
        <v>1</v>
      </c>
      <c r="D220" s="11">
        <v>41934</v>
      </c>
      <c r="E220" s="12">
        <v>43238</v>
      </c>
      <c r="F220" s="26" t="str">
        <f t="shared" si="6"/>
        <v>42 : 26</v>
      </c>
      <c r="G220" s="14">
        <f t="shared" si="7"/>
        <v>1304</v>
      </c>
      <c r="H220" s="9">
        <v>3</v>
      </c>
      <c r="I220" s="9">
        <v>3</v>
      </c>
      <c r="J220" s="9" t="s">
        <v>35</v>
      </c>
      <c r="K220" s="9" t="s">
        <v>35</v>
      </c>
      <c r="L220" s="15">
        <v>-0.5</v>
      </c>
      <c r="M220" s="14">
        <v>0.5</v>
      </c>
      <c r="AD220" s="14">
        <v>0</v>
      </c>
      <c r="AE220" s="14">
        <v>1</v>
      </c>
      <c r="AG220" s="14" t="s">
        <v>80</v>
      </c>
    </row>
    <row r="221" spans="1:33" s="14" customFormat="1" x14ac:dyDescent="0.25">
      <c r="A221" s="10" t="s">
        <v>344</v>
      </c>
      <c r="B221" s="10"/>
      <c r="C221" s="10">
        <v>1</v>
      </c>
      <c r="D221" s="11">
        <v>41934</v>
      </c>
      <c r="E221" s="12">
        <v>43238</v>
      </c>
      <c r="F221" s="26" t="str">
        <f t="shared" si="6"/>
        <v>42 : 26</v>
      </c>
      <c r="G221" s="14">
        <f t="shared" si="7"/>
        <v>1304</v>
      </c>
      <c r="H221" s="9">
        <v>3</v>
      </c>
      <c r="I221" s="9">
        <v>4</v>
      </c>
      <c r="J221" s="9" t="s">
        <v>32</v>
      </c>
      <c r="K221" s="9" t="s">
        <v>32</v>
      </c>
      <c r="L221" s="15">
        <v>-0.5</v>
      </c>
      <c r="M221" s="14">
        <v>0.5</v>
      </c>
      <c r="AD221" s="14">
        <v>0</v>
      </c>
      <c r="AE221" s="14">
        <v>1</v>
      </c>
      <c r="AG221" s="14" t="s">
        <v>218</v>
      </c>
    </row>
    <row r="222" spans="1:33" s="14" customFormat="1" x14ac:dyDescent="0.25">
      <c r="A222" s="10" t="s">
        <v>344</v>
      </c>
      <c r="B222" s="10"/>
      <c r="C222" s="10">
        <v>1</v>
      </c>
      <c r="D222" s="11">
        <v>41934</v>
      </c>
      <c r="E222" s="12">
        <v>43238</v>
      </c>
      <c r="F222" s="26" t="str">
        <f t="shared" si="6"/>
        <v>42 : 26</v>
      </c>
      <c r="G222" s="14">
        <f t="shared" si="7"/>
        <v>1304</v>
      </c>
      <c r="H222" s="9">
        <v>3</v>
      </c>
      <c r="I222" s="9">
        <v>5</v>
      </c>
      <c r="J222" s="9" t="s">
        <v>33</v>
      </c>
      <c r="K222" s="9" t="s">
        <v>35</v>
      </c>
      <c r="L222" s="15">
        <v>0.5</v>
      </c>
      <c r="M222" s="14">
        <v>-0.5</v>
      </c>
      <c r="AD222" s="14">
        <v>0</v>
      </c>
      <c r="AE222" s="14">
        <v>0</v>
      </c>
      <c r="AG222" s="14" t="s">
        <v>84</v>
      </c>
    </row>
    <row r="223" spans="1:33" s="14" customFormat="1" x14ac:dyDescent="0.25">
      <c r="A223" s="10" t="s">
        <v>344</v>
      </c>
      <c r="B223" s="10"/>
      <c r="C223" s="10">
        <v>1</v>
      </c>
      <c r="D223" s="11">
        <v>41934</v>
      </c>
      <c r="E223" s="12">
        <v>43238</v>
      </c>
      <c r="F223" s="26" t="str">
        <f t="shared" si="6"/>
        <v>42 : 26</v>
      </c>
      <c r="G223" s="14">
        <f t="shared" si="7"/>
        <v>1304</v>
      </c>
      <c r="H223" s="9">
        <v>3</v>
      </c>
      <c r="I223" s="9">
        <v>6</v>
      </c>
      <c r="J223" s="9" t="s">
        <v>39</v>
      </c>
      <c r="K223" s="9" t="s">
        <v>40</v>
      </c>
      <c r="L223" s="15">
        <v>-0.5</v>
      </c>
      <c r="M223" s="14">
        <v>-0.5</v>
      </c>
      <c r="X223" s="14">
        <v>0</v>
      </c>
      <c r="AA223" s="14">
        <v>1</v>
      </c>
      <c r="AG223" s="14" t="s">
        <v>346</v>
      </c>
    </row>
    <row r="224" spans="1:33" s="14" customFormat="1" x14ac:dyDescent="0.25">
      <c r="A224" s="10" t="s">
        <v>344</v>
      </c>
      <c r="B224" s="10"/>
      <c r="C224" s="10">
        <v>1</v>
      </c>
      <c r="D224" s="11">
        <v>41934</v>
      </c>
      <c r="E224" s="12">
        <v>43238</v>
      </c>
      <c r="F224" s="26" t="str">
        <f t="shared" si="6"/>
        <v>42 : 26</v>
      </c>
      <c r="G224" s="14">
        <f t="shared" si="7"/>
        <v>1304</v>
      </c>
      <c r="H224" s="9">
        <v>3</v>
      </c>
      <c r="I224" s="9">
        <v>7</v>
      </c>
      <c r="J224" s="9" t="s">
        <v>39</v>
      </c>
      <c r="K224" s="9" t="s">
        <v>39</v>
      </c>
      <c r="L224" s="15">
        <v>0.5</v>
      </c>
      <c r="M224" s="14">
        <v>0.5</v>
      </c>
      <c r="AD224" s="14">
        <v>0</v>
      </c>
      <c r="AE224" s="14">
        <v>0</v>
      </c>
      <c r="AG224" s="14" t="s">
        <v>67</v>
      </c>
    </row>
    <row r="225" spans="1:34" s="14" customFormat="1" x14ac:dyDescent="0.25">
      <c r="A225" s="10" t="s">
        <v>344</v>
      </c>
      <c r="B225" s="10"/>
      <c r="C225" s="10">
        <v>1</v>
      </c>
      <c r="D225" s="11">
        <v>41934</v>
      </c>
      <c r="E225" s="12">
        <v>43238</v>
      </c>
      <c r="F225" s="26" t="str">
        <f t="shared" si="6"/>
        <v>42 : 26</v>
      </c>
      <c r="G225" s="14">
        <f t="shared" si="7"/>
        <v>1304</v>
      </c>
      <c r="H225" s="9">
        <v>3</v>
      </c>
      <c r="I225" s="9">
        <v>8</v>
      </c>
      <c r="J225" s="9" t="s">
        <v>35</v>
      </c>
      <c r="K225" s="9" t="s">
        <v>32</v>
      </c>
      <c r="L225" s="15">
        <v>0.5</v>
      </c>
      <c r="M225" s="14">
        <v>-0.5</v>
      </c>
      <c r="AD225" s="14">
        <v>0</v>
      </c>
      <c r="AE225" s="14">
        <v>0</v>
      </c>
      <c r="AG225" s="14" t="s">
        <v>347</v>
      </c>
    </row>
    <row r="226" spans="1:34" s="14" customFormat="1" x14ac:dyDescent="0.25">
      <c r="A226" s="10" t="s">
        <v>344</v>
      </c>
      <c r="B226" s="10"/>
      <c r="C226" s="10">
        <v>1</v>
      </c>
      <c r="D226" s="11">
        <v>41934</v>
      </c>
      <c r="E226" s="12">
        <v>43238</v>
      </c>
      <c r="F226" s="26" t="str">
        <f t="shared" si="6"/>
        <v>42 : 26</v>
      </c>
      <c r="G226" s="14">
        <f t="shared" si="7"/>
        <v>1304</v>
      </c>
      <c r="H226" s="9">
        <v>3</v>
      </c>
      <c r="I226" s="9">
        <v>9</v>
      </c>
      <c r="J226" s="9" t="s">
        <v>40</v>
      </c>
      <c r="K226" s="9" t="s">
        <v>30</v>
      </c>
      <c r="L226" s="15">
        <v>-0.5</v>
      </c>
      <c r="M226" s="14">
        <v>-0.5</v>
      </c>
      <c r="AD226" s="14">
        <v>0</v>
      </c>
      <c r="AE226" s="14">
        <v>1</v>
      </c>
      <c r="AG226" s="14" t="s">
        <v>90</v>
      </c>
    </row>
    <row r="227" spans="1:34" s="14" customFormat="1" x14ac:dyDescent="0.25">
      <c r="A227" s="10" t="s">
        <v>344</v>
      </c>
      <c r="B227" s="10"/>
      <c r="C227" s="10">
        <v>1</v>
      </c>
      <c r="D227" s="11">
        <v>41934</v>
      </c>
      <c r="E227" s="12">
        <v>43238</v>
      </c>
      <c r="F227" s="26" t="str">
        <f t="shared" si="6"/>
        <v>42 : 26</v>
      </c>
      <c r="G227" s="14">
        <f t="shared" si="7"/>
        <v>1304</v>
      </c>
      <c r="H227" s="9">
        <v>3</v>
      </c>
      <c r="I227" s="9">
        <v>10</v>
      </c>
      <c r="J227" s="9" t="s">
        <v>33</v>
      </c>
      <c r="K227" s="9" t="s">
        <v>33</v>
      </c>
      <c r="L227" s="15">
        <v>-0.5</v>
      </c>
      <c r="M227" s="14">
        <v>0.5</v>
      </c>
      <c r="AD227" s="14">
        <v>0</v>
      </c>
      <c r="AE227" s="14">
        <v>1</v>
      </c>
      <c r="AG227" s="14" t="s">
        <v>45</v>
      </c>
    </row>
    <row r="228" spans="1:34" s="14" customFormat="1" x14ac:dyDescent="0.25">
      <c r="A228" s="10" t="s">
        <v>344</v>
      </c>
      <c r="B228" s="10"/>
      <c r="C228" s="10">
        <v>1</v>
      </c>
      <c r="D228" s="11">
        <v>41934</v>
      </c>
      <c r="E228" s="12">
        <v>43238</v>
      </c>
      <c r="F228" s="26" t="str">
        <f t="shared" si="6"/>
        <v>42 : 26</v>
      </c>
      <c r="G228" s="14">
        <f t="shared" si="7"/>
        <v>1304</v>
      </c>
      <c r="H228" s="9">
        <v>3</v>
      </c>
      <c r="I228" s="9">
        <v>11</v>
      </c>
      <c r="J228" s="9" t="s">
        <v>40</v>
      </c>
      <c r="K228" s="9" t="s">
        <v>40</v>
      </c>
      <c r="L228" s="15">
        <v>0.5</v>
      </c>
      <c r="M228" s="14">
        <v>0.5</v>
      </c>
      <c r="AD228" s="14">
        <v>0</v>
      </c>
      <c r="AE228" s="14">
        <v>0</v>
      </c>
      <c r="AG228" s="14" t="s">
        <v>308</v>
      </c>
    </row>
    <row r="229" spans="1:34" s="14" customFormat="1" x14ac:dyDescent="0.25">
      <c r="A229" s="10" t="s">
        <v>344</v>
      </c>
      <c r="B229" s="10"/>
      <c r="C229" s="10">
        <v>1</v>
      </c>
      <c r="D229" s="11">
        <v>41934</v>
      </c>
      <c r="E229" s="12">
        <v>43238</v>
      </c>
      <c r="F229" s="26" t="str">
        <f t="shared" si="6"/>
        <v>42 : 26</v>
      </c>
      <c r="G229" s="14">
        <f t="shared" si="7"/>
        <v>1304</v>
      </c>
      <c r="H229" s="9">
        <v>3</v>
      </c>
      <c r="I229" s="9">
        <v>12</v>
      </c>
      <c r="J229" s="9" t="s">
        <v>30</v>
      </c>
      <c r="K229" s="9" t="s">
        <v>39</v>
      </c>
      <c r="L229" s="15">
        <v>-0.5</v>
      </c>
      <c r="M229" s="14">
        <v>-0.5</v>
      </c>
      <c r="AD229" s="14">
        <v>1</v>
      </c>
      <c r="AE229" s="14">
        <v>0</v>
      </c>
      <c r="AG229" s="14" t="s">
        <v>348</v>
      </c>
    </row>
    <row r="230" spans="1:34" x14ac:dyDescent="0.25">
      <c r="A230" s="3" t="s">
        <v>349</v>
      </c>
      <c r="C230" s="3">
        <v>0</v>
      </c>
      <c r="D230" s="4">
        <v>41938</v>
      </c>
      <c r="E230" s="5">
        <v>43237</v>
      </c>
      <c r="F230" s="25" t="str">
        <f t="shared" si="6"/>
        <v>42 : 21</v>
      </c>
      <c r="G230">
        <f t="shared" si="7"/>
        <v>1299</v>
      </c>
      <c r="H230" s="22">
        <v>2</v>
      </c>
      <c r="I230" s="9" t="s">
        <v>97</v>
      </c>
      <c r="J230" s="9" t="s">
        <v>30</v>
      </c>
      <c r="K230" s="9" t="s">
        <v>30</v>
      </c>
      <c r="L230" s="20">
        <v>-0.5</v>
      </c>
      <c r="M230" s="14">
        <v>0.5</v>
      </c>
      <c r="N230" s="14"/>
      <c r="O230" s="14"/>
      <c r="P230" s="14"/>
      <c r="AD230" s="14">
        <v>0</v>
      </c>
      <c r="AE230" s="14">
        <v>1</v>
      </c>
      <c r="AG230" t="s">
        <v>274</v>
      </c>
    </row>
    <row r="231" spans="1:34" x14ac:dyDescent="0.25">
      <c r="A231" s="3" t="s">
        <v>349</v>
      </c>
      <c r="C231" s="3">
        <v>0</v>
      </c>
      <c r="D231" s="4">
        <v>41938</v>
      </c>
      <c r="E231" s="5">
        <v>43237</v>
      </c>
      <c r="F231" s="25" t="str">
        <f t="shared" si="6"/>
        <v>42 : 21</v>
      </c>
      <c r="G231">
        <f t="shared" si="7"/>
        <v>1299</v>
      </c>
      <c r="H231" s="22">
        <v>2</v>
      </c>
      <c r="I231" s="9" t="s">
        <v>148</v>
      </c>
      <c r="J231" s="9" t="s">
        <v>33</v>
      </c>
      <c r="K231" s="9" t="s">
        <v>39</v>
      </c>
      <c r="L231" s="20">
        <v>-0.5</v>
      </c>
      <c r="M231" s="14">
        <v>-0.5</v>
      </c>
      <c r="N231" s="14">
        <v>1</v>
      </c>
      <c r="O231" s="14"/>
      <c r="P231" s="14"/>
      <c r="AD231" s="13">
        <v>0</v>
      </c>
      <c r="AE231" s="13">
        <v>1</v>
      </c>
      <c r="AF231" t="s">
        <v>350</v>
      </c>
      <c r="AG231" t="s">
        <v>351</v>
      </c>
    </row>
    <row r="232" spans="1:34" x14ac:dyDescent="0.25">
      <c r="A232" s="3" t="s">
        <v>349</v>
      </c>
      <c r="C232" s="3">
        <v>0</v>
      </c>
      <c r="D232" s="4">
        <v>41938</v>
      </c>
      <c r="E232" s="5">
        <v>43237</v>
      </c>
      <c r="F232" s="25" t="str">
        <f t="shared" si="6"/>
        <v>42 : 21</v>
      </c>
      <c r="G232">
        <f t="shared" si="7"/>
        <v>1299</v>
      </c>
      <c r="H232" s="22">
        <v>2</v>
      </c>
      <c r="I232" s="9" t="s">
        <v>147</v>
      </c>
      <c r="J232" s="9" t="s">
        <v>35</v>
      </c>
      <c r="K232" s="9" t="s">
        <v>35</v>
      </c>
      <c r="L232" s="20">
        <v>0.5</v>
      </c>
      <c r="M232" s="14">
        <v>0.5</v>
      </c>
      <c r="N232" s="14"/>
      <c r="O232" s="14"/>
      <c r="P232" s="14"/>
      <c r="AD232" s="14">
        <v>0</v>
      </c>
      <c r="AE232" s="14">
        <v>0</v>
      </c>
      <c r="AG232" t="s">
        <v>52</v>
      </c>
    </row>
    <row r="233" spans="1:34" x14ac:dyDescent="0.25">
      <c r="A233" s="3" t="s">
        <v>349</v>
      </c>
      <c r="C233" s="3">
        <v>0</v>
      </c>
      <c r="D233" s="4">
        <v>41938</v>
      </c>
      <c r="E233" s="5">
        <v>43237</v>
      </c>
      <c r="F233" s="25" t="str">
        <f t="shared" si="6"/>
        <v>42 : 21</v>
      </c>
      <c r="G233">
        <f t="shared" si="7"/>
        <v>1299</v>
      </c>
      <c r="H233" s="22">
        <v>2</v>
      </c>
      <c r="I233" s="9" t="s">
        <v>146</v>
      </c>
      <c r="J233" s="9" t="s">
        <v>32</v>
      </c>
      <c r="K233" s="9" t="s">
        <v>32</v>
      </c>
      <c r="L233" s="20">
        <v>0.5</v>
      </c>
      <c r="M233" s="14">
        <v>0.5</v>
      </c>
      <c r="N233" s="14"/>
      <c r="O233" s="14"/>
      <c r="P233" s="14"/>
      <c r="AD233">
        <v>0</v>
      </c>
      <c r="AE233">
        <v>0</v>
      </c>
      <c r="AG233" t="s">
        <v>50</v>
      </c>
    </row>
    <row r="234" spans="1:34" x14ac:dyDescent="0.25">
      <c r="A234" s="3" t="s">
        <v>349</v>
      </c>
      <c r="C234" s="3">
        <v>0</v>
      </c>
      <c r="D234" s="4">
        <v>41938</v>
      </c>
      <c r="E234" s="5">
        <v>43237</v>
      </c>
      <c r="F234" s="25" t="str">
        <f t="shared" ref="F234:F297" si="8">DATEDIF(D234,E234,"M")&amp;" : "&amp;DATEDIF(D234,E234,"MD")</f>
        <v>42 : 21</v>
      </c>
      <c r="G234">
        <f t="shared" ref="G234:G297" si="9">DATEDIF(D234,E234,"D")</f>
        <v>1299</v>
      </c>
      <c r="H234" s="22">
        <v>2</v>
      </c>
      <c r="I234" s="9" t="s">
        <v>145</v>
      </c>
      <c r="J234" s="9" t="s">
        <v>35</v>
      </c>
      <c r="K234" s="9" t="s">
        <v>33</v>
      </c>
      <c r="L234" s="20">
        <v>-0.5</v>
      </c>
      <c r="M234" s="14">
        <v>-0.5</v>
      </c>
      <c r="N234" s="14"/>
      <c r="O234" s="14"/>
      <c r="P234" s="14"/>
      <c r="S234">
        <v>0</v>
      </c>
      <c r="AD234">
        <v>0</v>
      </c>
      <c r="AE234">
        <v>1</v>
      </c>
      <c r="AF234" t="s">
        <v>352</v>
      </c>
      <c r="AG234" t="s">
        <v>353</v>
      </c>
    </row>
    <row r="235" spans="1:34" x14ac:dyDescent="0.25">
      <c r="A235" s="3" t="s">
        <v>349</v>
      </c>
      <c r="C235" s="3">
        <v>0</v>
      </c>
      <c r="D235" s="4">
        <v>41938</v>
      </c>
      <c r="E235" s="5">
        <v>43237</v>
      </c>
      <c r="F235" s="25" t="str">
        <f t="shared" si="8"/>
        <v>42 : 21</v>
      </c>
      <c r="G235">
        <f t="shared" si="9"/>
        <v>1299</v>
      </c>
      <c r="H235" s="22">
        <v>2</v>
      </c>
      <c r="I235" s="9" t="s">
        <v>143</v>
      </c>
      <c r="J235" s="9" t="s">
        <v>40</v>
      </c>
      <c r="K235" s="9" t="s">
        <v>39</v>
      </c>
      <c r="L235" s="20">
        <v>0.5</v>
      </c>
      <c r="M235" s="14">
        <v>-0.5</v>
      </c>
      <c r="N235" s="14"/>
      <c r="O235" s="14"/>
      <c r="P235" s="14"/>
      <c r="AD235">
        <v>0</v>
      </c>
      <c r="AE235">
        <v>0</v>
      </c>
      <c r="AG235" t="s">
        <v>354</v>
      </c>
    </row>
    <row r="236" spans="1:34" x14ac:dyDescent="0.25">
      <c r="A236" s="3" t="s">
        <v>349</v>
      </c>
      <c r="C236" s="3">
        <v>0</v>
      </c>
      <c r="D236" s="4">
        <v>41938</v>
      </c>
      <c r="E236" s="5">
        <v>43237</v>
      </c>
      <c r="F236" s="25" t="str">
        <f t="shared" si="8"/>
        <v>42 : 21</v>
      </c>
      <c r="G236">
        <f t="shared" si="9"/>
        <v>1299</v>
      </c>
      <c r="H236" s="22">
        <v>2</v>
      </c>
      <c r="I236" s="9" t="s">
        <v>158</v>
      </c>
      <c r="J236" s="9" t="s">
        <v>39</v>
      </c>
      <c r="K236" s="9" t="s">
        <v>39</v>
      </c>
      <c r="L236" s="20">
        <v>-0.5</v>
      </c>
      <c r="M236" s="14">
        <v>0.5</v>
      </c>
      <c r="N236" s="14"/>
      <c r="O236" s="14"/>
      <c r="P236" s="14"/>
      <c r="AD236">
        <v>0</v>
      </c>
      <c r="AE236">
        <v>1</v>
      </c>
      <c r="AG236" t="s">
        <v>265</v>
      </c>
    </row>
    <row r="237" spans="1:34" x14ac:dyDescent="0.25">
      <c r="A237" s="3" t="s">
        <v>349</v>
      </c>
      <c r="C237" s="3">
        <v>0</v>
      </c>
      <c r="D237" s="4">
        <v>41938</v>
      </c>
      <c r="E237" s="5">
        <v>43237</v>
      </c>
      <c r="F237" s="25" t="str">
        <f t="shared" si="8"/>
        <v>42 : 21</v>
      </c>
      <c r="G237">
        <f t="shared" si="9"/>
        <v>1299</v>
      </c>
      <c r="H237" s="22">
        <v>2</v>
      </c>
      <c r="I237" s="9" t="s">
        <v>157</v>
      </c>
      <c r="J237" s="9" t="s">
        <v>32</v>
      </c>
      <c r="K237" s="9" t="s">
        <v>35</v>
      </c>
      <c r="L237" s="20">
        <v>-0.5</v>
      </c>
      <c r="M237" s="14">
        <v>-0.5</v>
      </c>
      <c r="N237" s="14"/>
      <c r="O237" s="14"/>
      <c r="P237" s="14"/>
      <c r="S237">
        <v>0</v>
      </c>
      <c r="AD237">
        <v>0</v>
      </c>
      <c r="AE237">
        <v>1</v>
      </c>
      <c r="AF237" t="s">
        <v>355</v>
      </c>
      <c r="AG237" t="s">
        <v>217</v>
      </c>
    </row>
    <row r="238" spans="1:34" x14ac:dyDescent="0.25">
      <c r="A238" s="3" t="s">
        <v>349</v>
      </c>
      <c r="C238" s="3">
        <v>0</v>
      </c>
      <c r="D238" s="4">
        <v>41938</v>
      </c>
      <c r="E238" s="5">
        <v>43237</v>
      </c>
      <c r="F238" s="25" t="str">
        <f t="shared" si="8"/>
        <v>42 : 21</v>
      </c>
      <c r="G238">
        <f t="shared" si="9"/>
        <v>1299</v>
      </c>
      <c r="H238" s="22">
        <v>2</v>
      </c>
      <c r="I238" s="9" t="s">
        <v>156</v>
      </c>
      <c r="J238" s="9" t="s">
        <v>30</v>
      </c>
      <c r="K238" s="9" t="s">
        <v>40</v>
      </c>
      <c r="L238" s="20">
        <v>0.5</v>
      </c>
      <c r="M238" s="14">
        <v>-0.5</v>
      </c>
      <c r="N238" s="14"/>
      <c r="O238" s="14"/>
      <c r="P238" s="14"/>
      <c r="R238">
        <v>1</v>
      </c>
      <c r="S238">
        <v>1</v>
      </c>
      <c r="AD238">
        <v>0</v>
      </c>
      <c r="AE238">
        <v>0</v>
      </c>
      <c r="AF238" t="s">
        <v>356</v>
      </c>
      <c r="AG238" t="s">
        <v>53</v>
      </c>
    </row>
    <row r="239" spans="1:34" x14ac:dyDescent="0.25">
      <c r="A239" s="3" t="s">
        <v>349</v>
      </c>
      <c r="C239" s="3">
        <v>0</v>
      </c>
      <c r="D239" s="4">
        <v>41938</v>
      </c>
      <c r="E239" s="5">
        <v>43237</v>
      </c>
      <c r="F239" s="25" t="str">
        <f t="shared" si="8"/>
        <v>42 : 21</v>
      </c>
      <c r="G239">
        <f t="shared" si="9"/>
        <v>1299</v>
      </c>
      <c r="H239" s="22">
        <v>2</v>
      </c>
      <c r="I239" s="9" t="s">
        <v>155</v>
      </c>
      <c r="J239" s="9" t="s">
        <v>33</v>
      </c>
      <c r="K239" s="9" t="s">
        <v>33</v>
      </c>
      <c r="L239" s="20">
        <v>0.5</v>
      </c>
      <c r="M239" s="14">
        <v>0.5</v>
      </c>
      <c r="N239" s="14"/>
      <c r="O239" s="14"/>
      <c r="P239" s="14"/>
      <c r="AD239">
        <v>0</v>
      </c>
      <c r="AE239">
        <v>0</v>
      </c>
      <c r="AG239" t="s">
        <v>357</v>
      </c>
      <c r="AH239" t="s">
        <v>280</v>
      </c>
    </row>
    <row r="240" spans="1:34" x14ac:dyDescent="0.25">
      <c r="A240" s="3" t="s">
        <v>349</v>
      </c>
      <c r="C240" s="3">
        <v>0</v>
      </c>
      <c r="D240" s="4">
        <v>41938</v>
      </c>
      <c r="E240" s="5">
        <v>43237</v>
      </c>
      <c r="F240" s="25" t="str">
        <f t="shared" si="8"/>
        <v>42 : 21</v>
      </c>
      <c r="G240">
        <f t="shared" si="9"/>
        <v>1299</v>
      </c>
      <c r="H240" s="22">
        <v>2</v>
      </c>
      <c r="I240" s="9" t="s">
        <v>154</v>
      </c>
      <c r="J240" s="9" t="s">
        <v>40</v>
      </c>
      <c r="K240" s="9" t="s">
        <v>40</v>
      </c>
      <c r="L240" s="20">
        <v>-0.5</v>
      </c>
      <c r="M240" s="14">
        <v>0.5</v>
      </c>
      <c r="N240" s="14"/>
      <c r="O240" s="14"/>
      <c r="P240" s="14"/>
      <c r="AD240">
        <v>0</v>
      </c>
      <c r="AE240">
        <v>1</v>
      </c>
      <c r="AG240" t="s">
        <v>358</v>
      </c>
      <c r="AH240" t="s">
        <v>280</v>
      </c>
    </row>
    <row r="241" spans="1:33" x14ac:dyDescent="0.25">
      <c r="A241" s="3" t="s">
        <v>349</v>
      </c>
      <c r="C241" s="3">
        <v>0</v>
      </c>
      <c r="D241" s="4">
        <v>41938</v>
      </c>
      <c r="E241" s="5">
        <v>43237</v>
      </c>
      <c r="F241" s="25" t="str">
        <f t="shared" si="8"/>
        <v>42 : 21</v>
      </c>
      <c r="G241">
        <f t="shared" si="9"/>
        <v>1299</v>
      </c>
      <c r="H241" s="22">
        <v>2</v>
      </c>
      <c r="I241" s="9" t="s">
        <v>153</v>
      </c>
      <c r="J241" s="9" t="s">
        <v>39</v>
      </c>
      <c r="K241" s="9" t="s">
        <v>30</v>
      </c>
      <c r="L241" s="20">
        <v>0.5</v>
      </c>
      <c r="M241" s="14">
        <v>-0.5</v>
      </c>
      <c r="N241" s="14"/>
      <c r="O241" s="14"/>
      <c r="P241" s="14"/>
      <c r="AD241">
        <v>0</v>
      </c>
      <c r="AE241">
        <v>0</v>
      </c>
      <c r="AG241" t="s">
        <v>313</v>
      </c>
    </row>
    <row r="242" spans="1:33" x14ac:dyDescent="0.25">
      <c r="A242" s="3" t="s">
        <v>359</v>
      </c>
      <c r="C242" s="3">
        <v>1</v>
      </c>
      <c r="D242" s="4">
        <v>41959</v>
      </c>
      <c r="E242" s="5">
        <v>43259</v>
      </c>
      <c r="F242" s="25" t="str">
        <f t="shared" si="8"/>
        <v>42 : 23</v>
      </c>
      <c r="G242">
        <f t="shared" si="9"/>
        <v>1300</v>
      </c>
      <c r="H242" s="7">
        <v>1</v>
      </c>
      <c r="I242" s="7">
        <v>1</v>
      </c>
      <c r="J242" s="7" t="s">
        <v>30</v>
      </c>
      <c r="K242" s="7" t="s">
        <v>30</v>
      </c>
      <c r="L242" s="8">
        <v>-0.5</v>
      </c>
      <c r="M242">
        <v>0.5</v>
      </c>
      <c r="AD242">
        <v>0</v>
      </c>
      <c r="AE242">
        <v>1</v>
      </c>
      <c r="AG242" t="s">
        <v>53</v>
      </c>
    </row>
    <row r="243" spans="1:33" x14ac:dyDescent="0.25">
      <c r="A243" s="3" t="s">
        <v>359</v>
      </c>
      <c r="C243" s="3">
        <v>1</v>
      </c>
      <c r="D243" s="4">
        <v>41959</v>
      </c>
      <c r="E243" s="5">
        <v>43259</v>
      </c>
      <c r="F243" s="25" t="str">
        <f t="shared" si="8"/>
        <v>42 : 23</v>
      </c>
      <c r="G243">
        <f t="shared" si="9"/>
        <v>1300</v>
      </c>
      <c r="H243" s="7">
        <v>1</v>
      </c>
      <c r="I243" s="7">
        <v>2</v>
      </c>
      <c r="J243" s="7" t="s">
        <v>32</v>
      </c>
      <c r="K243" s="7" t="s">
        <v>33</v>
      </c>
      <c r="L243" s="8">
        <v>-0.5</v>
      </c>
      <c r="M243">
        <v>-0.5</v>
      </c>
      <c r="S243">
        <v>0</v>
      </c>
      <c r="Y243">
        <v>1</v>
      </c>
      <c r="AA243">
        <v>1</v>
      </c>
      <c r="AC243">
        <v>1</v>
      </c>
      <c r="AF243" t="s">
        <v>360</v>
      </c>
      <c r="AG243" t="s">
        <v>361</v>
      </c>
    </row>
    <row r="244" spans="1:33" x14ac:dyDescent="0.25">
      <c r="A244" s="3" t="s">
        <v>359</v>
      </c>
      <c r="C244" s="3">
        <v>1</v>
      </c>
      <c r="D244" s="4">
        <v>41959</v>
      </c>
      <c r="E244" s="5">
        <v>43259</v>
      </c>
      <c r="F244" s="25" t="str">
        <f t="shared" si="8"/>
        <v>42 : 23</v>
      </c>
      <c r="G244">
        <f t="shared" si="9"/>
        <v>1300</v>
      </c>
      <c r="H244" s="7">
        <v>1</v>
      </c>
      <c r="I244" s="7">
        <v>3</v>
      </c>
      <c r="J244" s="7" t="s">
        <v>35</v>
      </c>
      <c r="K244" s="9" t="s">
        <v>35</v>
      </c>
      <c r="L244" s="8">
        <v>0.5</v>
      </c>
      <c r="M244">
        <v>0.5</v>
      </c>
      <c r="AD244">
        <v>0</v>
      </c>
      <c r="AE244">
        <v>0</v>
      </c>
      <c r="AG244" t="s">
        <v>45</v>
      </c>
    </row>
    <row r="245" spans="1:33" x14ac:dyDescent="0.25">
      <c r="A245" s="3" t="s">
        <v>359</v>
      </c>
      <c r="C245" s="3">
        <v>1</v>
      </c>
      <c r="D245" s="4">
        <v>41959</v>
      </c>
      <c r="E245" s="5">
        <v>43259</v>
      </c>
      <c r="F245" s="25" t="str">
        <f t="shared" si="8"/>
        <v>42 : 23</v>
      </c>
      <c r="G245">
        <f t="shared" si="9"/>
        <v>1300</v>
      </c>
      <c r="H245" s="7">
        <v>1</v>
      </c>
      <c r="I245" s="7">
        <v>4</v>
      </c>
      <c r="J245" s="7" t="s">
        <v>32</v>
      </c>
      <c r="K245" s="9" t="s">
        <v>32</v>
      </c>
      <c r="L245" s="8">
        <v>0.5</v>
      </c>
      <c r="M245">
        <v>0.5</v>
      </c>
      <c r="R245">
        <v>1</v>
      </c>
      <c r="U245" s="14">
        <v>1</v>
      </c>
      <c r="Y245">
        <v>1</v>
      </c>
      <c r="AD245">
        <v>1</v>
      </c>
      <c r="AE245">
        <v>1</v>
      </c>
      <c r="AF245" t="s">
        <v>362</v>
      </c>
      <c r="AG245" t="s">
        <v>363</v>
      </c>
    </row>
    <row r="246" spans="1:33" x14ac:dyDescent="0.25">
      <c r="A246" s="3" t="s">
        <v>359</v>
      </c>
      <c r="C246" s="3">
        <v>1</v>
      </c>
      <c r="D246" s="4">
        <v>41959</v>
      </c>
      <c r="E246" s="5">
        <v>43259</v>
      </c>
      <c r="F246" s="25" t="str">
        <f t="shared" si="8"/>
        <v>42 : 23</v>
      </c>
      <c r="G246">
        <f t="shared" si="9"/>
        <v>1300</v>
      </c>
      <c r="H246" s="7">
        <v>1</v>
      </c>
      <c r="I246" s="7">
        <v>5</v>
      </c>
      <c r="J246" s="7" t="s">
        <v>33</v>
      </c>
      <c r="K246" s="9" t="s">
        <v>35</v>
      </c>
      <c r="L246" s="8">
        <v>-0.5</v>
      </c>
      <c r="M246">
        <v>-0.5</v>
      </c>
      <c r="AA246">
        <v>1</v>
      </c>
      <c r="AF246" t="s">
        <v>364</v>
      </c>
      <c r="AG246" t="s">
        <v>132</v>
      </c>
    </row>
    <row r="247" spans="1:33" x14ac:dyDescent="0.25">
      <c r="A247" s="3" t="s">
        <v>359</v>
      </c>
      <c r="C247" s="3">
        <v>1</v>
      </c>
      <c r="D247" s="4">
        <v>41959</v>
      </c>
      <c r="E247" s="5">
        <v>43259</v>
      </c>
      <c r="F247" s="25" t="str">
        <f t="shared" si="8"/>
        <v>42 : 23</v>
      </c>
      <c r="G247">
        <f t="shared" si="9"/>
        <v>1300</v>
      </c>
      <c r="H247" s="7">
        <v>1</v>
      </c>
      <c r="I247" s="7">
        <v>6</v>
      </c>
      <c r="J247" s="7" t="s">
        <v>39</v>
      </c>
      <c r="K247" s="9" t="s">
        <v>40</v>
      </c>
      <c r="L247" s="8">
        <v>0.5</v>
      </c>
      <c r="M247">
        <v>-0.5</v>
      </c>
      <c r="AD247">
        <v>0</v>
      </c>
      <c r="AE247">
        <v>0</v>
      </c>
      <c r="AG247" t="s">
        <v>50</v>
      </c>
    </row>
    <row r="248" spans="1:33" x14ac:dyDescent="0.25">
      <c r="A248" s="3" t="s">
        <v>359</v>
      </c>
      <c r="C248" s="3">
        <v>1</v>
      </c>
      <c r="D248" s="4">
        <v>41959</v>
      </c>
      <c r="E248" s="5">
        <v>43259</v>
      </c>
      <c r="F248" s="25" t="str">
        <f t="shared" si="8"/>
        <v>42 : 23</v>
      </c>
      <c r="G248">
        <f t="shared" si="9"/>
        <v>1300</v>
      </c>
      <c r="H248" s="7">
        <v>1</v>
      </c>
      <c r="I248" s="7">
        <v>7</v>
      </c>
      <c r="J248" s="7" t="s">
        <v>39</v>
      </c>
      <c r="K248" s="9" t="s">
        <v>39</v>
      </c>
      <c r="L248" s="8">
        <v>-0.5</v>
      </c>
      <c r="M248">
        <v>0.5</v>
      </c>
      <c r="AD248">
        <v>0</v>
      </c>
      <c r="AE248">
        <v>1</v>
      </c>
      <c r="AG248" t="s">
        <v>313</v>
      </c>
    </row>
    <row r="249" spans="1:33" x14ac:dyDescent="0.25">
      <c r="A249" s="3" t="s">
        <v>359</v>
      </c>
      <c r="C249" s="3">
        <v>1</v>
      </c>
      <c r="D249" s="4">
        <v>41959</v>
      </c>
      <c r="E249" s="5">
        <v>43259</v>
      </c>
      <c r="F249" s="25" t="str">
        <f t="shared" si="8"/>
        <v>42 : 23</v>
      </c>
      <c r="G249">
        <f t="shared" si="9"/>
        <v>1300</v>
      </c>
      <c r="H249" s="7">
        <v>1</v>
      </c>
      <c r="I249" s="7">
        <v>8</v>
      </c>
      <c r="J249" s="7" t="s">
        <v>35</v>
      </c>
      <c r="K249" s="9" t="s">
        <v>32</v>
      </c>
      <c r="L249" s="8">
        <v>-0.5</v>
      </c>
      <c r="M249">
        <v>-0.5</v>
      </c>
      <c r="R249">
        <v>1</v>
      </c>
      <c r="U249" s="14">
        <v>1</v>
      </c>
      <c r="Y249">
        <v>1</v>
      </c>
      <c r="AD249" s="14">
        <v>1</v>
      </c>
      <c r="AE249" s="14">
        <v>0</v>
      </c>
      <c r="AF249" t="s">
        <v>365</v>
      </c>
      <c r="AG249" t="s">
        <v>363</v>
      </c>
    </row>
    <row r="250" spans="1:33" x14ac:dyDescent="0.25">
      <c r="A250" s="3" t="s">
        <v>359</v>
      </c>
      <c r="C250" s="3">
        <v>1</v>
      </c>
      <c r="D250" s="4">
        <v>41959</v>
      </c>
      <c r="E250" s="5">
        <v>43259</v>
      </c>
      <c r="F250" s="25" t="str">
        <f t="shared" si="8"/>
        <v>42 : 23</v>
      </c>
      <c r="G250">
        <f t="shared" si="9"/>
        <v>1300</v>
      </c>
      <c r="H250" s="7">
        <v>1</v>
      </c>
      <c r="I250" s="7">
        <v>9</v>
      </c>
      <c r="J250" s="7" t="s">
        <v>40</v>
      </c>
      <c r="K250" s="9" t="s">
        <v>30</v>
      </c>
      <c r="L250" s="8">
        <v>0.5</v>
      </c>
      <c r="M250">
        <v>-0.5</v>
      </c>
      <c r="AD250" s="14">
        <v>0</v>
      </c>
      <c r="AE250" s="14">
        <v>0</v>
      </c>
      <c r="AG250" t="s">
        <v>90</v>
      </c>
    </row>
    <row r="251" spans="1:33" x14ac:dyDescent="0.25">
      <c r="A251" s="3" t="s">
        <v>359</v>
      </c>
      <c r="C251" s="3">
        <v>1</v>
      </c>
      <c r="D251" s="4">
        <v>41959</v>
      </c>
      <c r="E251" s="5">
        <v>43259</v>
      </c>
      <c r="F251" s="25" t="str">
        <f t="shared" si="8"/>
        <v>42 : 23</v>
      </c>
      <c r="G251">
        <f t="shared" si="9"/>
        <v>1300</v>
      </c>
      <c r="H251" s="7">
        <v>1</v>
      </c>
      <c r="I251" s="7">
        <v>10</v>
      </c>
      <c r="J251" s="7" t="s">
        <v>33</v>
      </c>
      <c r="K251" s="9" t="s">
        <v>33</v>
      </c>
      <c r="L251" s="8">
        <v>0.5</v>
      </c>
      <c r="M251">
        <v>0.5</v>
      </c>
      <c r="AC251" s="14"/>
      <c r="AD251" s="14">
        <v>1</v>
      </c>
      <c r="AE251" s="14">
        <v>1</v>
      </c>
      <c r="AF251" s="14"/>
      <c r="AG251" t="s">
        <v>366</v>
      </c>
    </row>
    <row r="252" spans="1:33" x14ac:dyDescent="0.25">
      <c r="A252" s="3" t="s">
        <v>359</v>
      </c>
      <c r="C252" s="3">
        <v>1</v>
      </c>
      <c r="D252" s="4">
        <v>41959</v>
      </c>
      <c r="E252" s="5">
        <v>43259</v>
      </c>
      <c r="F252" s="25" t="str">
        <f t="shared" si="8"/>
        <v>42 : 23</v>
      </c>
      <c r="G252">
        <f t="shared" si="9"/>
        <v>1300</v>
      </c>
      <c r="H252" s="7">
        <v>1</v>
      </c>
      <c r="I252" s="7">
        <v>11</v>
      </c>
      <c r="J252" s="7" t="s">
        <v>40</v>
      </c>
      <c r="K252" s="9" t="s">
        <v>40</v>
      </c>
      <c r="L252" s="8">
        <v>-0.5</v>
      </c>
      <c r="M252">
        <v>0.5</v>
      </c>
      <c r="R252">
        <v>1</v>
      </c>
      <c r="S252">
        <v>1</v>
      </c>
      <c r="Y252">
        <v>1</v>
      </c>
      <c r="AC252" s="14"/>
      <c r="AD252" s="14">
        <v>0</v>
      </c>
      <c r="AE252" s="14">
        <v>1</v>
      </c>
      <c r="AF252" s="14" t="s">
        <v>367</v>
      </c>
      <c r="AG252" t="s">
        <v>46</v>
      </c>
    </row>
    <row r="253" spans="1:33" x14ac:dyDescent="0.25">
      <c r="A253" s="10" t="s">
        <v>359</v>
      </c>
      <c r="B253" s="10"/>
      <c r="C253" s="10">
        <v>1</v>
      </c>
      <c r="D253" s="11">
        <v>41959</v>
      </c>
      <c r="E253" s="12">
        <v>43259</v>
      </c>
      <c r="F253" s="26" t="str">
        <f t="shared" si="8"/>
        <v>42 : 23</v>
      </c>
      <c r="G253" s="14">
        <f t="shared" si="9"/>
        <v>1300</v>
      </c>
      <c r="H253" s="9">
        <v>1</v>
      </c>
      <c r="I253" s="9">
        <v>12</v>
      </c>
      <c r="J253" s="9" t="s">
        <v>30</v>
      </c>
      <c r="K253" s="9" t="s">
        <v>39</v>
      </c>
      <c r="L253" s="15">
        <v>0.5</v>
      </c>
      <c r="M253" s="14">
        <v>-0.5</v>
      </c>
      <c r="N253" s="14"/>
      <c r="O253" s="14"/>
      <c r="P253" s="14"/>
      <c r="Q253" s="14"/>
      <c r="U253" s="14">
        <v>1</v>
      </c>
      <c r="AC253" s="14"/>
      <c r="AD253" s="14">
        <v>1</v>
      </c>
      <c r="AE253" s="14">
        <v>1</v>
      </c>
      <c r="AF253" s="14"/>
      <c r="AG253" t="s">
        <v>368</v>
      </c>
    </row>
    <row r="254" spans="1:33" x14ac:dyDescent="0.25">
      <c r="A254" s="10" t="s">
        <v>369</v>
      </c>
      <c r="B254" s="10"/>
      <c r="C254" s="10">
        <v>0</v>
      </c>
      <c r="D254" s="11">
        <v>41962</v>
      </c>
      <c r="E254" s="12">
        <v>43252</v>
      </c>
      <c r="F254" s="26" t="str">
        <f t="shared" si="8"/>
        <v>42 : 13</v>
      </c>
      <c r="G254" s="14">
        <f t="shared" si="9"/>
        <v>1290</v>
      </c>
      <c r="H254" s="9">
        <v>8</v>
      </c>
      <c r="I254" s="9" t="s">
        <v>143</v>
      </c>
      <c r="J254" s="9" t="s">
        <v>40</v>
      </c>
      <c r="K254" s="9" t="s">
        <v>39</v>
      </c>
      <c r="L254" s="20">
        <v>-0.5</v>
      </c>
      <c r="M254" s="14">
        <v>-0.5</v>
      </c>
      <c r="N254" s="14"/>
      <c r="O254" s="14"/>
      <c r="P254" s="14"/>
      <c r="Q254" s="14"/>
      <c r="AC254" s="14"/>
      <c r="AD254" s="14">
        <v>0</v>
      </c>
      <c r="AE254" s="14">
        <v>1</v>
      </c>
      <c r="AF254" s="14"/>
      <c r="AG254" t="s">
        <v>370</v>
      </c>
    </row>
    <row r="255" spans="1:33" x14ac:dyDescent="0.25">
      <c r="A255" s="10" t="s">
        <v>369</v>
      </c>
      <c r="B255" s="10"/>
      <c r="C255" s="10">
        <v>0</v>
      </c>
      <c r="D255" s="11">
        <v>41962</v>
      </c>
      <c r="E255" s="12">
        <v>43252</v>
      </c>
      <c r="F255" s="26" t="str">
        <f t="shared" si="8"/>
        <v>42 : 13</v>
      </c>
      <c r="G255" s="14">
        <f t="shared" si="9"/>
        <v>1290</v>
      </c>
      <c r="H255" s="9">
        <v>8</v>
      </c>
      <c r="I255" s="9" t="s">
        <v>145</v>
      </c>
      <c r="J255" s="9" t="s">
        <v>35</v>
      </c>
      <c r="K255" s="9" t="s">
        <v>33</v>
      </c>
      <c r="L255" s="20">
        <v>0.5</v>
      </c>
      <c r="M255" s="14">
        <v>-0.5</v>
      </c>
      <c r="N255" s="14"/>
      <c r="O255" s="14"/>
      <c r="P255" s="14"/>
      <c r="Q255" s="14"/>
      <c r="U255" s="14">
        <v>1</v>
      </c>
      <c r="AC255" s="14"/>
      <c r="AD255" s="14">
        <v>1</v>
      </c>
      <c r="AE255" s="14">
        <v>1</v>
      </c>
      <c r="AF255" s="14"/>
      <c r="AG255" t="s">
        <v>371</v>
      </c>
    </row>
    <row r="256" spans="1:33" x14ac:dyDescent="0.25">
      <c r="A256" s="10" t="s">
        <v>369</v>
      </c>
      <c r="B256" s="10"/>
      <c r="C256" s="10">
        <v>0</v>
      </c>
      <c r="D256" s="11">
        <v>41962</v>
      </c>
      <c r="E256" s="12">
        <v>43252</v>
      </c>
      <c r="F256" s="26" t="str">
        <f t="shared" si="8"/>
        <v>42 : 13</v>
      </c>
      <c r="G256" s="14">
        <f t="shared" si="9"/>
        <v>1290</v>
      </c>
      <c r="H256" s="9">
        <v>8</v>
      </c>
      <c r="I256" s="9" t="s">
        <v>146</v>
      </c>
      <c r="J256" s="9" t="s">
        <v>32</v>
      </c>
      <c r="K256" s="9" t="s">
        <v>32</v>
      </c>
      <c r="L256" s="20">
        <v>-0.5</v>
      </c>
      <c r="M256" s="14">
        <v>0.5</v>
      </c>
      <c r="N256" s="14"/>
      <c r="O256" s="14"/>
      <c r="P256" s="14"/>
      <c r="Q256" s="14"/>
      <c r="AC256" s="14"/>
      <c r="AD256" s="14">
        <v>0</v>
      </c>
      <c r="AE256" s="14">
        <v>1</v>
      </c>
      <c r="AF256" s="14"/>
      <c r="AG256" t="s">
        <v>41</v>
      </c>
    </row>
    <row r="257" spans="1:34" x14ac:dyDescent="0.25">
      <c r="A257" s="10" t="s">
        <v>369</v>
      </c>
      <c r="B257" s="10"/>
      <c r="C257" s="10">
        <v>0</v>
      </c>
      <c r="D257" s="11">
        <v>41962</v>
      </c>
      <c r="E257" s="12">
        <v>43252</v>
      </c>
      <c r="F257" s="26" t="str">
        <f t="shared" si="8"/>
        <v>42 : 13</v>
      </c>
      <c r="G257" s="14">
        <f t="shared" si="9"/>
        <v>1290</v>
      </c>
      <c r="H257" s="9">
        <v>8</v>
      </c>
      <c r="I257" s="9" t="s">
        <v>147</v>
      </c>
      <c r="J257" s="9" t="s">
        <v>35</v>
      </c>
      <c r="K257" s="9" t="s">
        <v>35</v>
      </c>
      <c r="L257" s="20">
        <v>-0.5</v>
      </c>
      <c r="M257" s="14">
        <v>0.5</v>
      </c>
      <c r="N257" s="14"/>
      <c r="O257" s="14"/>
      <c r="P257" s="14"/>
      <c r="Q257" s="14"/>
      <c r="AC257" s="14"/>
      <c r="AD257" s="14">
        <v>0</v>
      </c>
      <c r="AE257" s="14">
        <v>1</v>
      </c>
      <c r="AF257" s="14"/>
      <c r="AG257" t="s">
        <v>372</v>
      </c>
    </row>
    <row r="258" spans="1:34" x14ac:dyDescent="0.25">
      <c r="A258" s="10" t="s">
        <v>369</v>
      </c>
      <c r="B258" s="10"/>
      <c r="C258" s="10">
        <v>0</v>
      </c>
      <c r="D258" s="11">
        <v>41962</v>
      </c>
      <c r="E258" s="12">
        <v>43252</v>
      </c>
      <c r="F258" s="26" t="str">
        <f t="shared" si="8"/>
        <v>42 : 13</v>
      </c>
      <c r="G258" s="14">
        <f t="shared" si="9"/>
        <v>1290</v>
      </c>
      <c r="H258" s="9">
        <v>8</v>
      </c>
      <c r="I258" s="9" t="s">
        <v>148</v>
      </c>
      <c r="J258" s="9" t="s">
        <v>33</v>
      </c>
      <c r="K258" s="9" t="s">
        <v>32</v>
      </c>
      <c r="L258" s="20">
        <v>0.5</v>
      </c>
      <c r="M258" s="14">
        <v>-0.5</v>
      </c>
      <c r="N258" s="14"/>
      <c r="O258" s="14"/>
      <c r="P258" s="14"/>
      <c r="Q258" s="14"/>
      <c r="AC258" s="14"/>
      <c r="AD258" s="14">
        <v>0</v>
      </c>
      <c r="AE258" s="14">
        <v>0</v>
      </c>
      <c r="AF258" s="14"/>
      <c r="AG258" t="s">
        <v>373</v>
      </c>
    </row>
    <row r="259" spans="1:34" x14ac:dyDescent="0.25">
      <c r="A259" s="10" t="s">
        <v>369</v>
      </c>
      <c r="B259" s="10"/>
      <c r="C259" s="10">
        <v>0</v>
      </c>
      <c r="D259" s="11">
        <v>41962</v>
      </c>
      <c r="E259" s="12">
        <v>43252</v>
      </c>
      <c r="F259" s="26" t="str">
        <f t="shared" si="8"/>
        <v>42 : 13</v>
      </c>
      <c r="G259" s="14">
        <f t="shared" si="9"/>
        <v>1290</v>
      </c>
      <c r="H259" s="9">
        <v>8</v>
      </c>
      <c r="I259" s="9" t="s">
        <v>152</v>
      </c>
      <c r="J259" s="9" t="s">
        <v>30</v>
      </c>
      <c r="K259" s="9" t="s">
        <v>30</v>
      </c>
      <c r="L259" s="20">
        <v>0.5</v>
      </c>
      <c r="M259" s="14">
        <v>0.5</v>
      </c>
      <c r="N259" s="14"/>
      <c r="O259" s="14"/>
      <c r="P259" s="14"/>
      <c r="Q259" s="14"/>
      <c r="AC259" s="14"/>
      <c r="AD259" s="14">
        <v>1</v>
      </c>
      <c r="AE259" s="14">
        <v>1</v>
      </c>
      <c r="AF259" s="14" t="s">
        <v>374</v>
      </c>
      <c r="AG259" t="s">
        <v>375</v>
      </c>
      <c r="AH259" t="s">
        <v>376</v>
      </c>
    </row>
    <row r="260" spans="1:34" x14ac:dyDescent="0.25">
      <c r="A260" s="10" t="s">
        <v>369</v>
      </c>
      <c r="B260" s="10"/>
      <c r="C260" s="10">
        <v>0</v>
      </c>
      <c r="D260" s="11">
        <v>41962</v>
      </c>
      <c r="E260" s="12">
        <v>43252</v>
      </c>
      <c r="F260" s="26" t="str">
        <f t="shared" si="8"/>
        <v>42 : 13</v>
      </c>
      <c r="G260" s="14">
        <f t="shared" si="9"/>
        <v>1290</v>
      </c>
      <c r="H260" s="9">
        <v>8</v>
      </c>
      <c r="I260" s="9" t="s">
        <v>153</v>
      </c>
      <c r="J260" s="9" t="s">
        <v>39</v>
      </c>
      <c r="K260" s="9" t="s">
        <v>39</v>
      </c>
      <c r="L260" s="20">
        <v>-0.5</v>
      </c>
      <c r="M260" s="9">
        <v>0.5</v>
      </c>
      <c r="N260" s="14"/>
      <c r="O260" s="14">
        <v>1</v>
      </c>
      <c r="P260" s="14"/>
      <c r="Q260" s="14"/>
      <c r="U260" s="14">
        <v>1</v>
      </c>
      <c r="AC260" s="14"/>
      <c r="AD260" s="14">
        <v>1</v>
      </c>
      <c r="AE260" s="14">
        <v>0</v>
      </c>
      <c r="AF260" s="14"/>
      <c r="AG260" t="s">
        <v>377</v>
      </c>
    </row>
    <row r="261" spans="1:34" x14ac:dyDescent="0.25">
      <c r="A261" s="10" t="s">
        <v>369</v>
      </c>
      <c r="B261" s="10"/>
      <c r="C261" s="10">
        <v>0</v>
      </c>
      <c r="D261" s="11">
        <v>41962</v>
      </c>
      <c r="E261" s="12">
        <v>43252</v>
      </c>
      <c r="F261" s="26" t="str">
        <f t="shared" si="8"/>
        <v>42 : 13</v>
      </c>
      <c r="G261" s="14">
        <f t="shared" si="9"/>
        <v>1290</v>
      </c>
      <c r="H261" s="9">
        <v>8</v>
      </c>
      <c r="I261" s="9" t="s">
        <v>154</v>
      </c>
      <c r="J261" s="9" t="s">
        <v>40</v>
      </c>
      <c r="K261" s="9" t="s">
        <v>40</v>
      </c>
      <c r="L261" s="20">
        <v>0.5</v>
      </c>
      <c r="M261" s="14">
        <v>0.5</v>
      </c>
      <c r="N261" s="14"/>
      <c r="O261" s="14"/>
      <c r="P261" s="14"/>
      <c r="Q261" s="14"/>
      <c r="S261">
        <v>0</v>
      </c>
      <c r="AA261">
        <v>1</v>
      </c>
      <c r="AC261" s="14"/>
      <c r="AD261" s="14"/>
      <c r="AE261" s="14"/>
      <c r="AF261" s="14" t="s">
        <v>378</v>
      </c>
      <c r="AG261" t="s">
        <v>132</v>
      </c>
    </row>
    <row r="262" spans="1:34" x14ac:dyDescent="0.25">
      <c r="A262" s="10" t="s">
        <v>369</v>
      </c>
      <c r="B262" s="10"/>
      <c r="C262" s="10">
        <v>0</v>
      </c>
      <c r="D262" s="11">
        <v>41962</v>
      </c>
      <c r="E262" s="12">
        <v>43252</v>
      </c>
      <c r="F262" s="26" t="str">
        <f t="shared" si="8"/>
        <v>42 : 13</v>
      </c>
      <c r="G262" s="14">
        <f t="shared" si="9"/>
        <v>1290</v>
      </c>
      <c r="H262" s="9">
        <v>8</v>
      </c>
      <c r="I262" s="9" t="s">
        <v>155</v>
      </c>
      <c r="J262" s="9" t="s">
        <v>33</v>
      </c>
      <c r="K262" s="9" t="s">
        <v>33</v>
      </c>
      <c r="L262" s="20">
        <v>-0.5</v>
      </c>
      <c r="M262" s="14">
        <v>0.5</v>
      </c>
      <c r="N262" s="14"/>
      <c r="O262" s="14"/>
      <c r="P262" s="14"/>
      <c r="Q262" s="14"/>
      <c r="S262">
        <v>0</v>
      </c>
      <c r="AA262">
        <v>1</v>
      </c>
      <c r="AC262" s="14"/>
      <c r="AD262" s="14"/>
      <c r="AE262" s="14"/>
      <c r="AF262" s="14" t="s">
        <v>379</v>
      </c>
      <c r="AG262" t="s">
        <v>380</v>
      </c>
      <c r="AH262" s="16" t="s">
        <v>381</v>
      </c>
    </row>
    <row r="263" spans="1:34" x14ac:dyDescent="0.25">
      <c r="A263" s="10" t="s">
        <v>369</v>
      </c>
      <c r="B263" s="10"/>
      <c r="C263" s="10">
        <v>0</v>
      </c>
      <c r="D263" s="11">
        <v>41962</v>
      </c>
      <c r="E263" s="12">
        <v>43252</v>
      </c>
      <c r="F263" s="26" t="str">
        <f t="shared" si="8"/>
        <v>42 : 13</v>
      </c>
      <c r="G263" s="14">
        <f t="shared" si="9"/>
        <v>1290</v>
      </c>
      <c r="H263" s="9">
        <v>8</v>
      </c>
      <c r="I263" s="9" t="s">
        <v>156</v>
      </c>
      <c r="J263" s="9" t="s">
        <v>30</v>
      </c>
      <c r="K263" s="9" t="s">
        <v>40</v>
      </c>
      <c r="L263" s="20">
        <v>-0.5</v>
      </c>
      <c r="M263" s="14">
        <v>-0.5</v>
      </c>
      <c r="N263" s="14"/>
      <c r="O263" s="14"/>
      <c r="P263" s="14"/>
      <c r="Q263" s="14"/>
      <c r="R263">
        <v>1</v>
      </c>
      <c r="S263" s="16">
        <v>1</v>
      </c>
      <c r="T263" s="16"/>
      <c r="U263" s="16"/>
      <c r="AC263" s="14"/>
      <c r="AD263" s="14">
        <v>1</v>
      </c>
      <c r="AE263" s="14">
        <v>0</v>
      </c>
      <c r="AF263" s="14" t="s">
        <v>382</v>
      </c>
      <c r="AG263" t="s">
        <v>383</v>
      </c>
      <c r="AH263" s="16" t="s">
        <v>384</v>
      </c>
    </row>
    <row r="264" spans="1:34" x14ac:dyDescent="0.25">
      <c r="A264" s="10" t="s">
        <v>369</v>
      </c>
      <c r="B264" s="10"/>
      <c r="C264" s="10">
        <v>0</v>
      </c>
      <c r="D264" s="11">
        <v>41962</v>
      </c>
      <c r="E264" s="12">
        <v>43252</v>
      </c>
      <c r="F264" s="26" t="str">
        <f t="shared" si="8"/>
        <v>42 : 13</v>
      </c>
      <c r="G264" s="14">
        <f t="shared" si="9"/>
        <v>1290</v>
      </c>
      <c r="H264" s="9">
        <v>8</v>
      </c>
      <c r="I264" s="9" t="s">
        <v>157</v>
      </c>
      <c r="J264" s="9" t="s">
        <v>32</v>
      </c>
      <c r="K264" s="9" t="s">
        <v>35</v>
      </c>
      <c r="L264" s="20">
        <v>0.5</v>
      </c>
      <c r="M264" s="14">
        <v>-0.5</v>
      </c>
      <c r="N264" s="14"/>
      <c r="O264" s="14"/>
      <c r="P264" s="14"/>
      <c r="Q264" s="14"/>
      <c r="AC264" s="14"/>
      <c r="AD264" s="14">
        <v>0</v>
      </c>
      <c r="AE264" s="14">
        <v>0</v>
      </c>
      <c r="AF264" s="14"/>
      <c r="AG264" t="s">
        <v>123</v>
      </c>
    </row>
    <row r="265" spans="1:34" x14ac:dyDescent="0.25">
      <c r="A265" s="10" t="s">
        <v>369</v>
      </c>
      <c r="B265" s="10"/>
      <c r="C265" s="10">
        <v>0</v>
      </c>
      <c r="D265" s="11">
        <v>41962</v>
      </c>
      <c r="E265" s="12">
        <v>43252</v>
      </c>
      <c r="F265" s="26" t="str">
        <f t="shared" si="8"/>
        <v>42 : 13</v>
      </c>
      <c r="G265" s="14">
        <f t="shared" si="9"/>
        <v>1290</v>
      </c>
      <c r="H265" s="9">
        <v>8</v>
      </c>
      <c r="I265" s="9" t="s">
        <v>158</v>
      </c>
      <c r="J265" s="9" t="s">
        <v>39</v>
      </c>
      <c r="K265" s="9" t="s">
        <v>39</v>
      </c>
      <c r="L265" s="20">
        <v>0.5</v>
      </c>
      <c r="M265" s="14">
        <v>0.5</v>
      </c>
      <c r="N265" s="14"/>
      <c r="O265" s="14"/>
      <c r="P265" s="14"/>
      <c r="Q265" s="14"/>
      <c r="AC265" s="14"/>
      <c r="AD265" s="14">
        <v>0</v>
      </c>
      <c r="AE265" s="14">
        <v>0</v>
      </c>
      <c r="AF265" s="14"/>
      <c r="AG265" t="s">
        <v>385</v>
      </c>
    </row>
    <row r="266" spans="1:34" x14ac:dyDescent="0.25">
      <c r="A266" s="10" t="s">
        <v>386</v>
      </c>
      <c r="B266" s="10"/>
      <c r="C266" s="10">
        <v>0</v>
      </c>
      <c r="D266" s="11">
        <v>41945</v>
      </c>
      <c r="E266" s="12">
        <v>43245</v>
      </c>
      <c r="F266" s="26" t="str">
        <f t="shared" si="8"/>
        <v>42 : 23</v>
      </c>
      <c r="G266" s="14">
        <f t="shared" si="9"/>
        <v>1300</v>
      </c>
      <c r="H266" s="9">
        <v>6</v>
      </c>
      <c r="I266" s="9" t="s">
        <v>143</v>
      </c>
      <c r="J266" s="9" t="s">
        <v>40</v>
      </c>
      <c r="K266" s="9" t="s">
        <v>39</v>
      </c>
      <c r="L266" s="20">
        <v>0.5</v>
      </c>
      <c r="M266" s="14">
        <v>-0.5</v>
      </c>
      <c r="N266" s="14"/>
      <c r="O266" s="14"/>
      <c r="P266" s="14"/>
      <c r="Q266" s="14"/>
      <c r="AC266" s="14"/>
      <c r="AD266" s="14">
        <v>0</v>
      </c>
      <c r="AE266" s="14">
        <v>0</v>
      </c>
      <c r="AF266" s="14"/>
      <c r="AG266" t="s">
        <v>387</v>
      </c>
    </row>
    <row r="267" spans="1:34" x14ac:dyDescent="0.25">
      <c r="A267" s="10" t="s">
        <v>386</v>
      </c>
      <c r="B267" s="10"/>
      <c r="C267" s="10">
        <v>0</v>
      </c>
      <c r="D267" s="11">
        <v>41945</v>
      </c>
      <c r="E267" s="12">
        <v>43245</v>
      </c>
      <c r="F267" s="26" t="str">
        <f t="shared" si="8"/>
        <v>42 : 23</v>
      </c>
      <c r="G267" s="14">
        <f t="shared" si="9"/>
        <v>1300</v>
      </c>
      <c r="H267" s="9">
        <v>6</v>
      </c>
      <c r="I267" s="9" t="s">
        <v>145</v>
      </c>
      <c r="J267" s="9" t="s">
        <v>35</v>
      </c>
      <c r="K267" s="9" t="s">
        <v>33</v>
      </c>
      <c r="L267" s="20">
        <v>-0.5</v>
      </c>
      <c r="M267" s="14">
        <v>-0.5</v>
      </c>
      <c r="N267" s="14"/>
      <c r="O267" s="14"/>
      <c r="P267" s="14"/>
      <c r="Q267" s="14"/>
      <c r="AC267" s="14"/>
      <c r="AD267" s="14">
        <v>0</v>
      </c>
      <c r="AE267" s="14">
        <v>1</v>
      </c>
      <c r="AF267" s="14"/>
      <c r="AG267" t="s">
        <v>388</v>
      </c>
    </row>
    <row r="268" spans="1:34" x14ac:dyDescent="0.25">
      <c r="A268" s="3" t="s">
        <v>386</v>
      </c>
      <c r="C268" s="3">
        <v>0</v>
      </c>
      <c r="D268" s="4">
        <v>41945</v>
      </c>
      <c r="E268" s="5">
        <v>43245</v>
      </c>
      <c r="F268" s="25" t="str">
        <f t="shared" si="8"/>
        <v>42 : 23</v>
      </c>
      <c r="G268">
        <f t="shared" si="9"/>
        <v>1300</v>
      </c>
      <c r="H268" s="7">
        <v>6</v>
      </c>
      <c r="I268" s="7" t="s">
        <v>146</v>
      </c>
      <c r="J268" s="7" t="s">
        <v>32</v>
      </c>
      <c r="K268" s="7" t="s">
        <v>32</v>
      </c>
      <c r="L268" s="19">
        <v>0.5</v>
      </c>
      <c r="M268">
        <v>0.5</v>
      </c>
      <c r="AC268" s="14"/>
      <c r="AD268" s="14">
        <v>1</v>
      </c>
      <c r="AE268" s="14">
        <v>1</v>
      </c>
      <c r="AF268" s="14"/>
      <c r="AG268" t="s">
        <v>389</v>
      </c>
    </row>
    <row r="269" spans="1:34" x14ac:dyDescent="0.25">
      <c r="A269" s="3" t="s">
        <v>386</v>
      </c>
      <c r="C269" s="3">
        <v>0</v>
      </c>
      <c r="D269" s="4">
        <v>41945</v>
      </c>
      <c r="E269" s="5">
        <v>43245</v>
      </c>
      <c r="F269" s="25" t="str">
        <f t="shared" si="8"/>
        <v>42 : 23</v>
      </c>
      <c r="G269">
        <f t="shared" si="9"/>
        <v>1300</v>
      </c>
      <c r="H269" s="7">
        <v>6</v>
      </c>
      <c r="I269" s="7" t="s">
        <v>147</v>
      </c>
      <c r="J269" s="7" t="s">
        <v>35</v>
      </c>
      <c r="K269" s="7" t="s">
        <v>35</v>
      </c>
      <c r="L269" s="19">
        <v>0.5</v>
      </c>
      <c r="M269">
        <v>0.5</v>
      </c>
      <c r="AC269" s="14"/>
      <c r="AD269" s="14">
        <v>0</v>
      </c>
      <c r="AE269" s="14">
        <v>0</v>
      </c>
      <c r="AF269" s="14"/>
      <c r="AG269" t="s">
        <v>390</v>
      </c>
    </row>
    <row r="270" spans="1:34" x14ac:dyDescent="0.25">
      <c r="A270" s="3" t="s">
        <v>386</v>
      </c>
      <c r="C270" s="3">
        <v>0</v>
      </c>
      <c r="D270" s="4">
        <v>41945</v>
      </c>
      <c r="E270" s="5">
        <v>43245</v>
      </c>
      <c r="F270" s="25" t="str">
        <f t="shared" si="8"/>
        <v>42 : 23</v>
      </c>
      <c r="G270">
        <f t="shared" si="9"/>
        <v>1300</v>
      </c>
      <c r="H270" s="7">
        <v>6</v>
      </c>
      <c r="I270" s="7" t="s">
        <v>148</v>
      </c>
      <c r="J270" s="7" t="s">
        <v>33</v>
      </c>
      <c r="K270" s="7" t="s">
        <v>32</v>
      </c>
      <c r="L270" s="19">
        <v>-0.5</v>
      </c>
      <c r="M270">
        <v>-0.5</v>
      </c>
      <c r="AD270" s="14">
        <v>1</v>
      </c>
      <c r="AE270" s="14">
        <v>0</v>
      </c>
      <c r="AG270" t="s">
        <v>275</v>
      </c>
    </row>
    <row r="271" spans="1:34" x14ac:dyDescent="0.25">
      <c r="A271" s="3" t="s">
        <v>386</v>
      </c>
      <c r="C271" s="3">
        <v>0</v>
      </c>
      <c r="D271" s="4">
        <v>41945</v>
      </c>
      <c r="E271" s="5">
        <v>43245</v>
      </c>
      <c r="F271" s="25" t="str">
        <f t="shared" si="8"/>
        <v>42 : 23</v>
      </c>
      <c r="G271">
        <f t="shared" si="9"/>
        <v>1300</v>
      </c>
      <c r="H271" s="7">
        <v>6</v>
      </c>
      <c r="I271" s="7" t="s">
        <v>152</v>
      </c>
      <c r="J271" s="7" t="s">
        <v>30</v>
      </c>
      <c r="K271" s="7" t="s">
        <v>30</v>
      </c>
      <c r="L271" s="19">
        <v>-0.5</v>
      </c>
      <c r="M271">
        <v>0.5</v>
      </c>
      <c r="AD271" s="14">
        <v>0</v>
      </c>
      <c r="AE271" s="14">
        <v>1</v>
      </c>
      <c r="AG271" t="s">
        <v>391</v>
      </c>
    </row>
    <row r="272" spans="1:34" x14ac:dyDescent="0.25">
      <c r="A272" s="3" t="s">
        <v>386</v>
      </c>
      <c r="C272" s="3">
        <v>0</v>
      </c>
      <c r="D272" s="4">
        <v>41945</v>
      </c>
      <c r="E272" s="5">
        <v>43245</v>
      </c>
      <c r="F272" s="25" t="str">
        <f t="shared" si="8"/>
        <v>42 : 23</v>
      </c>
      <c r="G272">
        <f t="shared" si="9"/>
        <v>1300</v>
      </c>
      <c r="H272" s="7">
        <v>6</v>
      </c>
      <c r="I272" s="7" t="s">
        <v>153</v>
      </c>
      <c r="J272" s="7" t="s">
        <v>39</v>
      </c>
      <c r="K272" s="7" t="s">
        <v>39</v>
      </c>
      <c r="L272" s="19">
        <v>0.5</v>
      </c>
      <c r="M272" s="7">
        <v>0.5</v>
      </c>
      <c r="O272">
        <v>1</v>
      </c>
      <c r="AD272" s="14">
        <v>1</v>
      </c>
      <c r="AE272" s="14">
        <v>1</v>
      </c>
      <c r="AG272" t="s">
        <v>392</v>
      </c>
    </row>
    <row r="273" spans="1:34" x14ac:dyDescent="0.25">
      <c r="A273" s="3" t="s">
        <v>386</v>
      </c>
      <c r="C273" s="3">
        <v>0</v>
      </c>
      <c r="D273" s="4">
        <v>41945</v>
      </c>
      <c r="E273" s="5">
        <v>43245</v>
      </c>
      <c r="F273" s="25" t="str">
        <f t="shared" si="8"/>
        <v>42 : 23</v>
      </c>
      <c r="G273">
        <f t="shared" si="9"/>
        <v>1300</v>
      </c>
      <c r="H273" s="7">
        <v>6</v>
      </c>
      <c r="I273" s="7" t="s">
        <v>154</v>
      </c>
      <c r="J273" s="7" t="s">
        <v>40</v>
      </c>
      <c r="K273" s="7" t="s">
        <v>40</v>
      </c>
      <c r="L273" s="19">
        <v>-0.5</v>
      </c>
      <c r="M273">
        <v>0.5</v>
      </c>
      <c r="AD273" s="14">
        <v>0</v>
      </c>
      <c r="AE273" s="14">
        <v>1</v>
      </c>
      <c r="AG273" t="s">
        <v>393</v>
      </c>
      <c r="AH273" t="s">
        <v>280</v>
      </c>
    </row>
    <row r="274" spans="1:34" x14ac:dyDescent="0.25">
      <c r="A274" s="3" t="s">
        <v>386</v>
      </c>
      <c r="C274" s="3">
        <v>0</v>
      </c>
      <c r="D274" s="4">
        <v>41945</v>
      </c>
      <c r="E274" s="5">
        <v>43245</v>
      </c>
      <c r="F274" s="25" t="str">
        <f t="shared" si="8"/>
        <v>42 : 23</v>
      </c>
      <c r="G274">
        <f t="shared" si="9"/>
        <v>1300</v>
      </c>
      <c r="H274" s="7">
        <v>6</v>
      </c>
      <c r="I274" s="7" t="s">
        <v>155</v>
      </c>
      <c r="J274" s="7" t="s">
        <v>33</v>
      </c>
      <c r="K274" s="7" t="s">
        <v>33</v>
      </c>
      <c r="L274" s="19">
        <v>0.5</v>
      </c>
      <c r="M274">
        <v>0.5</v>
      </c>
      <c r="R274">
        <v>1</v>
      </c>
      <c r="AD274" s="14">
        <v>1</v>
      </c>
      <c r="AE274" s="14">
        <v>1</v>
      </c>
      <c r="AF274" t="s">
        <v>394</v>
      </c>
      <c r="AG274" t="s">
        <v>395</v>
      </c>
      <c r="AH274" t="s">
        <v>396</v>
      </c>
    </row>
    <row r="275" spans="1:34" x14ac:dyDescent="0.25">
      <c r="A275" s="3" t="s">
        <v>386</v>
      </c>
      <c r="C275" s="3">
        <v>0</v>
      </c>
      <c r="D275" s="4">
        <v>41945</v>
      </c>
      <c r="E275" s="5">
        <v>43245</v>
      </c>
      <c r="F275" s="25" t="str">
        <f t="shared" si="8"/>
        <v>42 : 23</v>
      </c>
      <c r="G275">
        <f t="shared" si="9"/>
        <v>1300</v>
      </c>
      <c r="H275" s="7">
        <v>6</v>
      </c>
      <c r="I275" s="7" t="s">
        <v>156</v>
      </c>
      <c r="J275" s="7" t="s">
        <v>30</v>
      </c>
      <c r="K275" s="7" t="s">
        <v>40</v>
      </c>
      <c r="L275" s="19">
        <v>0.5</v>
      </c>
      <c r="M275">
        <v>-0.5</v>
      </c>
      <c r="T275" s="14">
        <v>1</v>
      </c>
      <c r="U275" s="14"/>
      <c r="AD275" s="14">
        <v>1</v>
      </c>
      <c r="AE275" s="14">
        <v>1</v>
      </c>
      <c r="AG275" t="s">
        <v>397</v>
      </c>
    </row>
    <row r="276" spans="1:34" x14ac:dyDescent="0.25">
      <c r="A276" s="3" t="s">
        <v>386</v>
      </c>
      <c r="C276" s="3">
        <v>0</v>
      </c>
      <c r="D276" s="4">
        <v>41945</v>
      </c>
      <c r="E276" s="5">
        <v>43245</v>
      </c>
      <c r="F276" s="25" t="str">
        <f t="shared" si="8"/>
        <v>42 : 23</v>
      </c>
      <c r="G276">
        <f t="shared" si="9"/>
        <v>1300</v>
      </c>
      <c r="H276" s="7">
        <v>6</v>
      </c>
      <c r="I276" s="7" t="s">
        <v>157</v>
      </c>
      <c r="J276" s="7" t="s">
        <v>32</v>
      </c>
      <c r="K276" s="7" t="s">
        <v>35</v>
      </c>
      <c r="L276" s="19">
        <v>-0.5</v>
      </c>
      <c r="M276">
        <v>-0.5</v>
      </c>
      <c r="T276" s="14">
        <v>1</v>
      </c>
      <c r="U276" s="14"/>
      <c r="AD276" s="14">
        <v>0</v>
      </c>
      <c r="AE276" s="14">
        <v>1</v>
      </c>
      <c r="AG276" t="s">
        <v>398</v>
      </c>
    </row>
    <row r="277" spans="1:34" x14ac:dyDescent="0.25">
      <c r="A277" s="3" t="s">
        <v>386</v>
      </c>
      <c r="C277" s="3">
        <v>0</v>
      </c>
      <c r="D277" s="4">
        <v>41945</v>
      </c>
      <c r="E277" s="5">
        <v>43245</v>
      </c>
      <c r="F277" s="25" t="str">
        <f t="shared" si="8"/>
        <v>42 : 23</v>
      </c>
      <c r="G277">
        <f t="shared" si="9"/>
        <v>1300</v>
      </c>
      <c r="H277" s="7">
        <v>6</v>
      </c>
      <c r="I277" s="7" t="s">
        <v>158</v>
      </c>
      <c r="J277" s="7" t="s">
        <v>39</v>
      </c>
      <c r="K277" s="7" t="s">
        <v>39</v>
      </c>
      <c r="L277" s="19">
        <v>-0.5</v>
      </c>
      <c r="M277">
        <v>0.5</v>
      </c>
      <c r="AD277" s="14">
        <v>0</v>
      </c>
      <c r="AE277" s="14">
        <v>1</v>
      </c>
      <c r="AG277" t="s">
        <v>399</v>
      </c>
    </row>
    <row r="278" spans="1:34" s="14" customFormat="1" x14ac:dyDescent="0.25">
      <c r="A278" s="10" t="s">
        <v>400</v>
      </c>
      <c r="B278" s="10"/>
      <c r="C278" s="10">
        <v>0</v>
      </c>
      <c r="D278" s="11">
        <v>41947</v>
      </c>
      <c r="E278" s="12">
        <v>43245</v>
      </c>
      <c r="F278" s="26" t="str">
        <f t="shared" si="8"/>
        <v>42 : 21</v>
      </c>
      <c r="G278" s="14">
        <f t="shared" si="9"/>
        <v>1298</v>
      </c>
      <c r="H278" s="9">
        <v>5</v>
      </c>
      <c r="I278" s="9">
        <v>6</v>
      </c>
      <c r="J278" s="9" t="s">
        <v>39</v>
      </c>
      <c r="K278" s="9" t="s">
        <v>40</v>
      </c>
      <c r="L278" s="20">
        <v>0.5</v>
      </c>
      <c r="M278" s="14">
        <v>-0.5</v>
      </c>
      <c r="Y278" s="14">
        <v>1</v>
      </c>
      <c r="AD278" s="14">
        <v>0</v>
      </c>
      <c r="AE278" s="14">
        <v>0</v>
      </c>
      <c r="AF278" s="14" t="s">
        <v>401</v>
      </c>
      <c r="AG278" s="14" t="s">
        <v>402</v>
      </c>
    </row>
    <row r="279" spans="1:34" s="14" customFormat="1" x14ac:dyDescent="0.25">
      <c r="A279" s="10" t="s">
        <v>400</v>
      </c>
      <c r="B279" s="10"/>
      <c r="C279" s="10">
        <v>0</v>
      </c>
      <c r="D279" s="11">
        <v>41947</v>
      </c>
      <c r="E279" s="12">
        <v>43245</v>
      </c>
      <c r="F279" s="26" t="str">
        <f t="shared" si="8"/>
        <v>42 : 21</v>
      </c>
      <c r="G279" s="14">
        <f t="shared" si="9"/>
        <v>1298</v>
      </c>
      <c r="H279" s="9">
        <v>5</v>
      </c>
      <c r="I279" s="9">
        <v>5</v>
      </c>
      <c r="J279" s="9" t="s">
        <v>33</v>
      </c>
      <c r="K279" s="9" t="s">
        <v>35</v>
      </c>
      <c r="L279" s="20">
        <v>-0.5</v>
      </c>
      <c r="M279" s="14">
        <v>-0.5</v>
      </c>
      <c r="AD279" s="14">
        <v>0</v>
      </c>
      <c r="AE279" s="14">
        <v>1</v>
      </c>
      <c r="AG279" s="14" t="s">
        <v>358</v>
      </c>
      <c r="AH279" s="14" t="s">
        <v>280</v>
      </c>
    </row>
    <row r="280" spans="1:34" s="14" customFormat="1" x14ac:dyDescent="0.25">
      <c r="A280" s="10" t="s">
        <v>400</v>
      </c>
      <c r="B280" s="10"/>
      <c r="C280" s="10">
        <v>0</v>
      </c>
      <c r="D280" s="11">
        <v>41947</v>
      </c>
      <c r="E280" s="12">
        <v>43245</v>
      </c>
      <c r="F280" s="26" t="str">
        <f t="shared" si="8"/>
        <v>42 : 21</v>
      </c>
      <c r="G280" s="14">
        <f t="shared" si="9"/>
        <v>1298</v>
      </c>
      <c r="H280" s="9">
        <v>5</v>
      </c>
      <c r="I280" s="9">
        <v>4</v>
      </c>
      <c r="J280" s="9" t="s">
        <v>32</v>
      </c>
      <c r="K280" s="9" t="s">
        <v>32</v>
      </c>
      <c r="L280" s="20">
        <v>0.5</v>
      </c>
      <c r="M280" s="14">
        <v>0.5</v>
      </c>
      <c r="AD280" s="14">
        <v>1</v>
      </c>
      <c r="AE280" s="14">
        <v>1</v>
      </c>
      <c r="AG280" s="14" t="s">
        <v>403</v>
      </c>
    </row>
    <row r="281" spans="1:34" s="14" customFormat="1" x14ac:dyDescent="0.25">
      <c r="A281" s="10" t="s">
        <v>400</v>
      </c>
      <c r="B281" s="10"/>
      <c r="C281" s="10">
        <v>0</v>
      </c>
      <c r="D281" s="11">
        <v>41947</v>
      </c>
      <c r="E281" s="12">
        <v>43245</v>
      </c>
      <c r="F281" s="26" t="str">
        <f t="shared" si="8"/>
        <v>42 : 21</v>
      </c>
      <c r="G281" s="14">
        <f t="shared" si="9"/>
        <v>1298</v>
      </c>
      <c r="H281" s="9">
        <v>5</v>
      </c>
      <c r="I281" s="9">
        <v>3</v>
      </c>
      <c r="J281" s="9" t="s">
        <v>35</v>
      </c>
      <c r="K281" s="9" t="s">
        <v>35</v>
      </c>
      <c r="L281" s="20">
        <v>0.5</v>
      </c>
      <c r="M281" s="14">
        <v>0.5</v>
      </c>
      <c r="AD281" s="14">
        <v>0</v>
      </c>
      <c r="AE281" s="14">
        <v>0</v>
      </c>
      <c r="AG281" s="14" t="s">
        <v>45</v>
      </c>
    </row>
    <row r="282" spans="1:34" s="14" customFormat="1" x14ac:dyDescent="0.25">
      <c r="A282" s="10" t="s">
        <v>400</v>
      </c>
      <c r="B282" s="10"/>
      <c r="C282" s="10">
        <v>0</v>
      </c>
      <c r="D282" s="11">
        <v>41947</v>
      </c>
      <c r="E282" s="12">
        <v>43245</v>
      </c>
      <c r="F282" s="26" t="str">
        <f t="shared" si="8"/>
        <v>42 : 21</v>
      </c>
      <c r="G282" s="14">
        <f t="shared" si="9"/>
        <v>1298</v>
      </c>
      <c r="H282" s="9">
        <v>5</v>
      </c>
      <c r="I282" s="9">
        <v>2</v>
      </c>
      <c r="J282" s="9" t="s">
        <v>32</v>
      </c>
      <c r="K282" s="9" t="s">
        <v>33</v>
      </c>
      <c r="L282" s="20">
        <v>-0.5</v>
      </c>
      <c r="M282" s="14">
        <v>-0.5</v>
      </c>
      <c r="V282" s="14" t="s">
        <v>197</v>
      </c>
      <c r="W282" s="14">
        <v>1</v>
      </c>
      <c r="AD282" s="14">
        <v>0</v>
      </c>
      <c r="AE282" s="14">
        <v>1</v>
      </c>
      <c r="AG282" s="14" t="s">
        <v>404</v>
      </c>
      <c r="AH282" s="14" t="s">
        <v>280</v>
      </c>
    </row>
    <row r="283" spans="1:34" s="14" customFormat="1" x14ac:dyDescent="0.25">
      <c r="A283" s="10" t="s">
        <v>400</v>
      </c>
      <c r="B283" s="10"/>
      <c r="C283" s="10">
        <v>0</v>
      </c>
      <c r="D283" s="11">
        <v>41947</v>
      </c>
      <c r="E283" s="12">
        <v>43245</v>
      </c>
      <c r="F283" s="26" t="str">
        <f t="shared" si="8"/>
        <v>42 : 21</v>
      </c>
      <c r="G283" s="14">
        <f t="shared" si="9"/>
        <v>1298</v>
      </c>
      <c r="H283" s="9">
        <v>5</v>
      </c>
      <c r="I283" s="9">
        <v>1</v>
      </c>
      <c r="J283" s="9" t="s">
        <v>30</v>
      </c>
      <c r="K283" s="9" t="s">
        <v>30</v>
      </c>
      <c r="L283" s="20">
        <v>-0.5</v>
      </c>
      <c r="M283" s="14">
        <v>0.5</v>
      </c>
      <c r="AD283" s="14">
        <v>0</v>
      </c>
      <c r="AE283" s="14">
        <v>1</v>
      </c>
      <c r="AG283" s="14" t="s">
        <v>405</v>
      </c>
    </row>
    <row r="284" spans="1:34" s="14" customFormat="1" x14ac:dyDescent="0.25">
      <c r="A284" s="10" t="s">
        <v>400</v>
      </c>
      <c r="B284" s="10"/>
      <c r="C284" s="10">
        <v>0</v>
      </c>
      <c r="D284" s="11">
        <v>41947</v>
      </c>
      <c r="E284" s="12">
        <v>43245</v>
      </c>
      <c r="F284" s="26" t="str">
        <f t="shared" si="8"/>
        <v>42 : 21</v>
      </c>
      <c r="G284" s="14">
        <f t="shared" si="9"/>
        <v>1298</v>
      </c>
      <c r="H284" s="9">
        <v>5</v>
      </c>
      <c r="I284" s="9">
        <v>12</v>
      </c>
      <c r="J284" s="9" t="s">
        <v>30</v>
      </c>
      <c r="K284" s="9" t="s">
        <v>39</v>
      </c>
      <c r="L284" s="20">
        <v>0.5</v>
      </c>
      <c r="M284" s="14">
        <v>-0.5</v>
      </c>
      <c r="AD284" s="14">
        <v>1</v>
      </c>
      <c r="AE284" s="14">
        <v>1</v>
      </c>
      <c r="AG284" s="14" t="s">
        <v>406</v>
      </c>
    </row>
    <row r="285" spans="1:34" s="14" customFormat="1" x14ac:dyDescent="0.25">
      <c r="A285" s="10" t="s">
        <v>400</v>
      </c>
      <c r="B285" s="10"/>
      <c r="C285" s="10">
        <v>0</v>
      </c>
      <c r="D285" s="11">
        <v>41947</v>
      </c>
      <c r="E285" s="12">
        <v>43245</v>
      </c>
      <c r="F285" s="26" t="str">
        <f t="shared" si="8"/>
        <v>42 : 21</v>
      </c>
      <c r="G285" s="14">
        <f t="shared" si="9"/>
        <v>1298</v>
      </c>
      <c r="H285" s="9">
        <v>5</v>
      </c>
      <c r="I285" s="9">
        <v>11</v>
      </c>
      <c r="J285" s="9" t="s">
        <v>40</v>
      </c>
      <c r="K285" s="9" t="s">
        <v>40</v>
      </c>
      <c r="L285" s="20">
        <v>-0.5</v>
      </c>
      <c r="M285" s="14">
        <v>0.5</v>
      </c>
      <c r="AD285" s="14">
        <v>0</v>
      </c>
      <c r="AE285" s="14">
        <v>1</v>
      </c>
      <c r="AG285" s="14" t="s">
        <v>407</v>
      </c>
    </row>
    <row r="286" spans="1:34" s="14" customFormat="1" x14ac:dyDescent="0.25">
      <c r="A286" s="10" t="s">
        <v>400</v>
      </c>
      <c r="B286" s="10"/>
      <c r="C286" s="10">
        <v>0</v>
      </c>
      <c r="D286" s="11">
        <v>41947</v>
      </c>
      <c r="E286" s="12">
        <v>43245</v>
      </c>
      <c r="F286" s="26" t="str">
        <f t="shared" si="8"/>
        <v>42 : 21</v>
      </c>
      <c r="G286" s="14">
        <f t="shared" si="9"/>
        <v>1298</v>
      </c>
      <c r="H286" s="9">
        <v>5</v>
      </c>
      <c r="I286" s="9">
        <v>10</v>
      </c>
      <c r="J286" s="9" t="s">
        <v>33</v>
      </c>
      <c r="K286" s="9" t="s">
        <v>33</v>
      </c>
      <c r="L286" s="20">
        <v>0.5</v>
      </c>
      <c r="M286" s="14">
        <v>0.5</v>
      </c>
      <c r="V286" s="14" t="s">
        <v>197</v>
      </c>
      <c r="W286" s="14">
        <v>1</v>
      </c>
      <c r="AD286" s="14">
        <v>0</v>
      </c>
      <c r="AE286" s="14">
        <v>0</v>
      </c>
      <c r="AG286" s="14" t="s">
        <v>198</v>
      </c>
    </row>
    <row r="287" spans="1:34" s="14" customFormat="1" x14ac:dyDescent="0.25">
      <c r="A287" s="10" t="s">
        <v>400</v>
      </c>
      <c r="B287" s="10"/>
      <c r="C287" s="10">
        <v>0</v>
      </c>
      <c r="D287" s="11">
        <v>41947</v>
      </c>
      <c r="E287" s="12">
        <v>43245</v>
      </c>
      <c r="F287" s="26" t="str">
        <f t="shared" si="8"/>
        <v>42 : 21</v>
      </c>
      <c r="G287" s="14">
        <f t="shared" si="9"/>
        <v>1298</v>
      </c>
      <c r="H287" s="9">
        <v>5</v>
      </c>
      <c r="I287" s="9">
        <v>9</v>
      </c>
      <c r="J287" s="9" t="s">
        <v>40</v>
      </c>
      <c r="K287" s="9" t="s">
        <v>30</v>
      </c>
      <c r="L287" s="20">
        <v>0.5</v>
      </c>
      <c r="M287" s="14">
        <v>-0.5</v>
      </c>
      <c r="AD287" s="14">
        <v>0</v>
      </c>
      <c r="AE287" s="14">
        <v>0</v>
      </c>
      <c r="AG287" s="14" t="s">
        <v>90</v>
      </c>
    </row>
    <row r="288" spans="1:34" s="14" customFormat="1" x14ac:dyDescent="0.25">
      <c r="A288" s="10" t="s">
        <v>400</v>
      </c>
      <c r="B288" s="10"/>
      <c r="C288" s="10">
        <v>0</v>
      </c>
      <c r="D288" s="11">
        <v>41947</v>
      </c>
      <c r="E288" s="12">
        <v>43245</v>
      </c>
      <c r="F288" s="26" t="str">
        <f t="shared" si="8"/>
        <v>42 : 21</v>
      </c>
      <c r="G288" s="14">
        <f t="shared" si="9"/>
        <v>1298</v>
      </c>
      <c r="H288" s="9">
        <v>5</v>
      </c>
      <c r="I288" s="9">
        <v>8</v>
      </c>
      <c r="J288" s="9" t="s">
        <v>35</v>
      </c>
      <c r="K288" s="9" t="s">
        <v>32</v>
      </c>
      <c r="L288" s="20">
        <v>-0.5</v>
      </c>
      <c r="M288" s="14">
        <v>-0.5</v>
      </c>
      <c r="AD288" s="14">
        <v>1</v>
      </c>
      <c r="AE288" s="14">
        <v>0</v>
      </c>
      <c r="AG288" s="14" t="s">
        <v>408</v>
      </c>
    </row>
    <row r="289" spans="1:34" s="14" customFormat="1" x14ac:dyDescent="0.25">
      <c r="A289" s="10" t="s">
        <v>400</v>
      </c>
      <c r="B289" s="10"/>
      <c r="C289" s="10">
        <v>0</v>
      </c>
      <c r="D289" s="11">
        <v>41947</v>
      </c>
      <c r="E289" s="12">
        <v>43245</v>
      </c>
      <c r="F289" s="26" t="str">
        <f t="shared" si="8"/>
        <v>42 : 21</v>
      </c>
      <c r="G289" s="14">
        <f t="shared" si="9"/>
        <v>1298</v>
      </c>
      <c r="H289" s="9">
        <v>5</v>
      </c>
      <c r="I289" s="9">
        <v>7</v>
      </c>
      <c r="J289" s="9" t="s">
        <v>39</v>
      </c>
      <c r="K289" s="9" t="s">
        <v>39</v>
      </c>
      <c r="L289" s="20">
        <v>-0.5</v>
      </c>
      <c r="M289" s="14">
        <v>0.5</v>
      </c>
      <c r="AD289" s="14">
        <v>0</v>
      </c>
      <c r="AE289" s="14">
        <v>1</v>
      </c>
      <c r="AG289" s="14" t="s">
        <v>409</v>
      </c>
      <c r="AH289" s="14" t="s">
        <v>280</v>
      </c>
    </row>
    <row r="290" spans="1:34" s="14" customFormat="1" x14ac:dyDescent="0.25">
      <c r="A290" s="10" t="s">
        <v>410</v>
      </c>
      <c r="B290" s="10"/>
      <c r="C290" s="10">
        <v>1</v>
      </c>
      <c r="D290" s="11">
        <v>41953</v>
      </c>
      <c r="E290" s="12">
        <v>43252</v>
      </c>
      <c r="F290" s="26" t="str">
        <f t="shared" si="8"/>
        <v>42 : 22</v>
      </c>
      <c r="G290" s="14">
        <f t="shared" si="9"/>
        <v>1299</v>
      </c>
      <c r="H290" s="9">
        <v>7</v>
      </c>
      <c r="I290" s="9">
        <v>6</v>
      </c>
      <c r="J290" s="9" t="s">
        <v>39</v>
      </c>
      <c r="K290" s="9" t="s">
        <v>40</v>
      </c>
      <c r="L290" s="20">
        <v>-0.5</v>
      </c>
      <c r="M290" s="14">
        <v>-0.5</v>
      </c>
      <c r="AD290" s="14">
        <v>0</v>
      </c>
      <c r="AE290" s="14">
        <v>1</v>
      </c>
      <c r="AG290" s="14" t="s">
        <v>411</v>
      </c>
    </row>
    <row r="291" spans="1:34" x14ac:dyDescent="0.25">
      <c r="A291" s="3" t="s">
        <v>410</v>
      </c>
      <c r="C291" s="3">
        <v>1</v>
      </c>
      <c r="D291" s="4">
        <v>41953</v>
      </c>
      <c r="E291" s="5">
        <v>43252</v>
      </c>
      <c r="F291" s="25" t="str">
        <f t="shared" si="8"/>
        <v>42 : 22</v>
      </c>
      <c r="G291">
        <f t="shared" si="9"/>
        <v>1299</v>
      </c>
      <c r="H291" s="7">
        <v>7</v>
      </c>
      <c r="I291" s="7">
        <v>5</v>
      </c>
      <c r="J291" s="7" t="s">
        <v>33</v>
      </c>
      <c r="K291" s="7" t="s">
        <v>35</v>
      </c>
      <c r="L291" s="19">
        <v>0.5</v>
      </c>
      <c r="M291">
        <v>-0.5</v>
      </c>
      <c r="AD291" s="14">
        <v>0</v>
      </c>
      <c r="AE291" s="14">
        <v>0</v>
      </c>
      <c r="AG291" t="s">
        <v>412</v>
      </c>
    </row>
    <row r="292" spans="1:34" x14ac:dyDescent="0.25">
      <c r="A292" s="3" t="s">
        <v>410</v>
      </c>
      <c r="C292" s="3">
        <v>1</v>
      </c>
      <c r="D292" s="4">
        <v>41953</v>
      </c>
      <c r="E292" s="5">
        <v>43252</v>
      </c>
      <c r="F292" s="25" t="str">
        <f t="shared" si="8"/>
        <v>42 : 22</v>
      </c>
      <c r="G292">
        <f t="shared" si="9"/>
        <v>1299</v>
      </c>
      <c r="H292" s="7">
        <v>7</v>
      </c>
      <c r="I292" s="7">
        <v>4</v>
      </c>
      <c r="J292" s="7" t="s">
        <v>32</v>
      </c>
      <c r="K292" s="7" t="s">
        <v>32</v>
      </c>
      <c r="L292" s="19">
        <v>-0.5</v>
      </c>
      <c r="M292">
        <v>0.5</v>
      </c>
      <c r="AD292" s="14">
        <v>0</v>
      </c>
      <c r="AE292" s="14">
        <v>1</v>
      </c>
      <c r="AG292" t="s">
        <v>413</v>
      </c>
    </row>
    <row r="293" spans="1:34" x14ac:dyDescent="0.25">
      <c r="A293" s="3" t="s">
        <v>410</v>
      </c>
      <c r="C293" s="3">
        <v>1</v>
      </c>
      <c r="D293" s="4">
        <v>41953</v>
      </c>
      <c r="E293" s="5">
        <v>43252</v>
      </c>
      <c r="F293" s="25" t="str">
        <f t="shared" si="8"/>
        <v>42 : 22</v>
      </c>
      <c r="G293">
        <f t="shared" si="9"/>
        <v>1299</v>
      </c>
      <c r="H293" s="7">
        <v>7</v>
      </c>
      <c r="I293" s="7">
        <v>3</v>
      </c>
      <c r="J293" s="7" t="s">
        <v>35</v>
      </c>
      <c r="K293" s="9" t="s">
        <v>35</v>
      </c>
      <c r="L293" s="19">
        <v>-0.5</v>
      </c>
      <c r="M293">
        <v>0.5</v>
      </c>
      <c r="AD293" s="14">
        <v>0</v>
      </c>
      <c r="AE293" s="14">
        <v>1</v>
      </c>
      <c r="AG293" t="s">
        <v>414</v>
      </c>
    </row>
    <row r="294" spans="1:34" x14ac:dyDescent="0.25">
      <c r="A294" s="3" t="s">
        <v>410</v>
      </c>
      <c r="C294" s="3">
        <v>1</v>
      </c>
      <c r="D294" s="4">
        <v>41953</v>
      </c>
      <c r="E294" s="5">
        <v>43252</v>
      </c>
      <c r="F294" s="25" t="str">
        <f t="shared" si="8"/>
        <v>42 : 22</v>
      </c>
      <c r="G294">
        <f t="shared" si="9"/>
        <v>1299</v>
      </c>
      <c r="H294" s="7">
        <v>7</v>
      </c>
      <c r="I294" s="7">
        <v>2</v>
      </c>
      <c r="J294" s="7" t="s">
        <v>32</v>
      </c>
      <c r="K294" s="9" t="s">
        <v>33</v>
      </c>
      <c r="L294" s="19">
        <v>0.5</v>
      </c>
      <c r="M294">
        <v>-0.5</v>
      </c>
      <c r="AD294" s="14">
        <v>0</v>
      </c>
      <c r="AE294" s="14">
        <v>0</v>
      </c>
      <c r="AG294" t="s">
        <v>415</v>
      </c>
    </row>
    <row r="295" spans="1:34" x14ac:dyDescent="0.25">
      <c r="A295" s="3" t="s">
        <v>410</v>
      </c>
      <c r="C295" s="3">
        <v>1</v>
      </c>
      <c r="D295" s="4">
        <v>41953</v>
      </c>
      <c r="E295" s="5">
        <v>43252</v>
      </c>
      <c r="F295" s="25" t="str">
        <f t="shared" si="8"/>
        <v>42 : 22</v>
      </c>
      <c r="G295">
        <f t="shared" si="9"/>
        <v>1299</v>
      </c>
      <c r="H295" s="7">
        <v>7</v>
      </c>
      <c r="I295" s="7">
        <v>1</v>
      </c>
      <c r="J295" s="7" t="s">
        <v>30</v>
      </c>
      <c r="K295" s="9" t="s">
        <v>30</v>
      </c>
      <c r="L295" s="19">
        <v>0.5</v>
      </c>
      <c r="M295">
        <v>0.5</v>
      </c>
      <c r="AD295" s="14">
        <v>0</v>
      </c>
      <c r="AE295" s="14">
        <v>0</v>
      </c>
      <c r="AG295" t="s">
        <v>48</v>
      </c>
    </row>
    <row r="296" spans="1:34" x14ac:dyDescent="0.25">
      <c r="A296" s="3" t="s">
        <v>410</v>
      </c>
      <c r="C296" s="3">
        <v>1</v>
      </c>
      <c r="D296" s="4">
        <v>41953</v>
      </c>
      <c r="E296" s="5">
        <v>43252</v>
      </c>
      <c r="F296" s="25" t="str">
        <f t="shared" si="8"/>
        <v>42 : 22</v>
      </c>
      <c r="G296">
        <f t="shared" si="9"/>
        <v>1299</v>
      </c>
      <c r="H296" s="7">
        <v>7</v>
      </c>
      <c r="I296" s="7">
        <v>12</v>
      </c>
      <c r="J296" s="7" t="s">
        <v>30</v>
      </c>
      <c r="K296" s="9" t="s">
        <v>39</v>
      </c>
      <c r="L296" s="19">
        <v>-0.5</v>
      </c>
      <c r="M296">
        <v>-0.5</v>
      </c>
      <c r="AD296" s="14">
        <v>0</v>
      </c>
      <c r="AE296" s="14">
        <v>1</v>
      </c>
      <c r="AG296" t="s">
        <v>416</v>
      </c>
    </row>
    <row r="297" spans="1:34" x14ac:dyDescent="0.25">
      <c r="A297" s="3" t="s">
        <v>410</v>
      </c>
      <c r="C297" s="3">
        <v>1</v>
      </c>
      <c r="D297" s="4">
        <v>41953</v>
      </c>
      <c r="E297" s="5">
        <v>43252</v>
      </c>
      <c r="F297" s="25" t="str">
        <f t="shared" si="8"/>
        <v>42 : 22</v>
      </c>
      <c r="G297">
        <f t="shared" si="9"/>
        <v>1299</v>
      </c>
      <c r="H297" s="7">
        <v>7</v>
      </c>
      <c r="I297" s="7">
        <v>11</v>
      </c>
      <c r="J297" s="7" t="s">
        <v>40</v>
      </c>
      <c r="K297" s="9" t="s">
        <v>40</v>
      </c>
      <c r="L297" s="19">
        <v>0.5</v>
      </c>
      <c r="M297">
        <v>0.5</v>
      </c>
      <c r="AD297" s="14">
        <v>0</v>
      </c>
      <c r="AE297" s="14">
        <v>0</v>
      </c>
      <c r="AG297" t="s">
        <v>417</v>
      </c>
    </row>
    <row r="298" spans="1:34" x14ac:dyDescent="0.25">
      <c r="A298" s="3" t="s">
        <v>410</v>
      </c>
      <c r="C298" s="3">
        <v>1</v>
      </c>
      <c r="D298" s="4">
        <v>41953</v>
      </c>
      <c r="E298" s="5">
        <v>43252</v>
      </c>
      <c r="F298" s="25" t="str">
        <f t="shared" ref="F298:F361" si="10">DATEDIF(D298,E298,"M")&amp;" : "&amp;DATEDIF(D298,E298,"MD")</f>
        <v>42 : 22</v>
      </c>
      <c r="G298">
        <f t="shared" ref="G298:G361" si="11">DATEDIF(D298,E298,"D")</f>
        <v>1299</v>
      </c>
      <c r="H298" s="7">
        <v>7</v>
      </c>
      <c r="I298" s="7">
        <v>10</v>
      </c>
      <c r="J298" s="7" t="s">
        <v>33</v>
      </c>
      <c r="K298" s="9" t="s">
        <v>33</v>
      </c>
      <c r="L298" s="19">
        <v>-0.5</v>
      </c>
      <c r="M298">
        <v>0.5</v>
      </c>
      <c r="AD298" s="14">
        <v>0</v>
      </c>
      <c r="AE298" s="14">
        <v>1</v>
      </c>
      <c r="AG298" t="s">
        <v>414</v>
      </c>
    </row>
    <row r="299" spans="1:34" x14ac:dyDescent="0.25">
      <c r="A299" s="3" t="s">
        <v>410</v>
      </c>
      <c r="C299" s="3">
        <v>1</v>
      </c>
      <c r="D299" s="4">
        <v>41953</v>
      </c>
      <c r="E299" s="5">
        <v>43252</v>
      </c>
      <c r="F299" s="25" t="str">
        <f t="shared" si="10"/>
        <v>42 : 22</v>
      </c>
      <c r="G299">
        <f t="shared" si="11"/>
        <v>1299</v>
      </c>
      <c r="H299" s="7">
        <v>7</v>
      </c>
      <c r="I299" s="7">
        <v>9</v>
      </c>
      <c r="J299" s="7" t="s">
        <v>40</v>
      </c>
      <c r="K299" s="9" t="s">
        <v>30</v>
      </c>
      <c r="L299" s="19">
        <v>-0.5</v>
      </c>
      <c r="M299">
        <v>-0.5</v>
      </c>
      <c r="AD299" s="14">
        <v>0</v>
      </c>
      <c r="AE299" s="14">
        <v>1</v>
      </c>
      <c r="AG299" t="s">
        <v>418</v>
      </c>
    </row>
    <row r="300" spans="1:34" x14ac:dyDescent="0.25">
      <c r="A300" s="3" t="s">
        <v>410</v>
      </c>
      <c r="C300" s="3">
        <v>1</v>
      </c>
      <c r="D300" s="4">
        <v>41953</v>
      </c>
      <c r="E300" s="5">
        <v>43252</v>
      </c>
      <c r="F300" s="25" t="str">
        <f t="shared" si="10"/>
        <v>42 : 22</v>
      </c>
      <c r="G300">
        <f t="shared" si="11"/>
        <v>1299</v>
      </c>
      <c r="H300" s="7">
        <v>7</v>
      </c>
      <c r="I300" s="7">
        <v>8</v>
      </c>
      <c r="J300" s="7" t="s">
        <v>35</v>
      </c>
      <c r="K300" s="9" t="s">
        <v>32</v>
      </c>
      <c r="L300" s="19">
        <v>0.5</v>
      </c>
      <c r="M300">
        <v>-0.5</v>
      </c>
      <c r="AD300" s="14">
        <v>0</v>
      </c>
      <c r="AE300" s="14">
        <v>0</v>
      </c>
      <c r="AG300" t="s">
        <v>51</v>
      </c>
    </row>
    <row r="301" spans="1:34" x14ac:dyDescent="0.25">
      <c r="A301" s="3" t="s">
        <v>410</v>
      </c>
      <c r="C301" s="3">
        <v>1</v>
      </c>
      <c r="D301" s="4">
        <v>41953</v>
      </c>
      <c r="E301" s="5">
        <v>43252</v>
      </c>
      <c r="F301" s="25" t="str">
        <f t="shared" si="10"/>
        <v>42 : 22</v>
      </c>
      <c r="G301">
        <f t="shared" si="11"/>
        <v>1299</v>
      </c>
      <c r="H301" s="7">
        <v>7</v>
      </c>
      <c r="I301" s="7">
        <v>7</v>
      </c>
      <c r="J301" s="7" t="s">
        <v>39</v>
      </c>
      <c r="K301" s="9" t="s">
        <v>39</v>
      </c>
      <c r="L301" s="19">
        <v>0.5</v>
      </c>
      <c r="M301">
        <v>0.5</v>
      </c>
      <c r="AD301" s="14">
        <v>0</v>
      </c>
      <c r="AE301" s="14">
        <v>0</v>
      </c>
      <c r="AG301" t="s">
        <v>419</v>
      </c>
    </row>
    <row r="302" spans="1:34" x14ac:dyDescent="0.25">
      <c r="A302" s="10" t="s">
        <v>420</v>
      </c>
      <c r="B302" s="10"/>
      <c r="C302" s="10">
        <v>1</v>
      </c>
      <c r="D302" s="11">
        <v>41949</v>
      </c>
      <c r="E302" s="12">
        <v>43252</v>
      </c>
      <c r="F302" s="26" t="str">
        <f t="shared" si="10"/>
        <v>42 : 26</v>
      </c>
      <c r="G302" s="14">
        <f t="shared" si="11"/>
        <v>1303</v>
      </c>
      <c r="H302" s="9">
        <v>8</v>
      </c>
      <c r="I302" s="9" t="s">
        <v>143</v>
      </c>
      <c r="J302" s="9" t="s">
        <v>40</v>
      </c>
      <c r="K302" s="9" t="s">
        <v>39</v>
      </c>
      <c r="L302" s="20">
        <v>-0.5</v>
      </c>
      <c r="M302" s="14">
        <v>-0.5</v>
      </c>
      <c r="N302" s="14"/>
      <c r="O302" s="14"/>
      <c r="P302" s="14"/>
      <c r="Q302" s="14"/>
      <c r="Y302">
        <v>1</v>
      </c>
      <c r="AA302">
        <v>1</v>
      </c>
      <c r="AC302">
        <v>1</v>
      </c>
      <c r="AD302" s="14"/>
      <c r="AE302" s="14"/>
      <c r="AF302" t="s">
        <v>421</v>
      </c>
      <c r="AG302" t="s">
        <v>422</v>
      </c>
      <c r="AH302" s="23"/>
    </row>
    <row r="303" spans="1:34" s="14" customFormat="1" x14ac:dyDescent="0.25">
      <c r="A303" s="10" t="s">
        <v>420</v>
      </c>
      <c r="B303" s="10"/>
      <c r="C303" s="10">
        <v>1</v>
      </c>
      <c r="D303" s="11">
        <v>41949</v>
      </c>
      <c r="E303" s="12">
        <v>43252</v>
      </c>
      <c r="F303" s="26" t="str">
        <f t="shared" si="10"/>
        <v>42 : 26</v>
      </c>
      <c r="G303" s="14">
        <f t="shared" si="11"/>
        <v>1303</v>
      </c>
      <c r="H303" s="9">
        <v>8</v>
      </c>
      <c r="I303" s="9" t="s">
        <v>145</v>
      </c>
      <c r="J303" s="9" t="s">
        <v>35</v>
      </c>
      <c r="K303" s="9" t="s">
        <v>33</v>
      </c>
      <c r="L303" s="20">
        <v>0.5</v>
      </c>
      <c r="M303" s="14">
        <v>-0.5</v>
      </c>
      <c r="Y303" s="14">
        <v>1</v>
      </c>
      <c r="AD303" s="14">
        <v>0</v>
      </c>
      <c r="AE303" s="14">
        <v>0</v>
      </c>
      <c r="AF303" s="14" t="s">
        <v>423</v>
      </c>
      <c r="AG303" s="14" t="s">
        <v>424</v>
      </c>
    </row>
    <row r="304" spans="1:34" s="14" customFormat="1" x14ac:dyDescent="0.25">
      <c r="A304" s="10" t="s">
        <v>420</v>
      </c>
      <c r="B304" s="10"/>
      <c r="C304" s="10">
        <v>1</v>
      </c>
      <c r="D304" s="11">
        <v>41949</v>
      </c>
      <c r="E304" s="12">
        <v>43252</v>
      </c>
      <c r="F304" s="26" t="str">
        <f t="shared" si="10"/>
        <v>42 : 26</v>
      </c>
      <c r="G304" s="14">
        <f t="shared" si="11"/>
        <v>1303</v>
      </c>
      <c r="H304" s="9">
        <v>8</v>
      </c>
      <c r="I304" s="9" t="s">
        <v>146</v>
      </c>
      <c r="J304" s="9" t="s">
        <v>32</v>
      </c>
      <c r="K304" s="9" t="s">
        <v>32</v>
      </c>
      <c r="L304" s="20">
        <v>-0.5</v>
      </c>
      <c r="M304" s="14">
        <v>0.5</v>
      </c>
      <c r="AD304" s="14">
        <v>0</v>
      </c>
      <c r="AE304" s="14">
        <v>1</v>
      </c>
      <c r="AG304" s="14" t="s">
        <v>425</v>
      </c>
      <c r="AH304" s="14" t="s">
        <v>280</v>
      </c>
    </row>
    <row r="305" spans="1:34" s="14" customFormat="1" x14ac:dyDescent="0.25">
      <c r="A305" s="10" t="s">
        <v>420</v>
      </c>
      <c r="B305" s="10"/>
      <c r="C305" s="10">
        <v>1</v>
      </c>
      <c r="D305" s="11">
        <v>41949</v>
      </c>
      <c r="E305" s="12">
        <v>43252</v>
      </c>
      <c r="F305" s="26" t="str">
        <f t="shared" si="10"/>
        <v>42 : 26</v>
      </c>
      <c r="G305" s="14">
        <f t="shared" si="11"/>
        <v>1303</v>
      </c>
      <c r="H305" s="9">
        <v>8</v>
      </c>
      <c r="I305" s="9" t="s">
        <v>147</v>
      </c>
      <c r="J305" s="9" t="s">
        <v>35</v>
      </c>
      <c r="K305" s="9" t="s">
        <v>35</v>
      </c>
      <c r="L305" s="20">
        <v>-0.5</v>
      </c>
      <c r="M305" s="14">
        <v>0.5</v>
      </c>
      <c r="AD305" s="14">
        <v>0</v>
      </c>
      <c r="AE305" s="14">
        <v>1</v>
      </c>
      <c r="AG305" s="14" t="s">
        <v>426</v>
      </c>
    </row>
    <row r="306" spans="1:34" s="14" customFormat="1" x14ac:dyDescent="0.25">
      <c r="A306" s="10" t="s">
        <v>420</v>
      </c>
      <c r="B306" s="10"/>
      <c r="C306" s="10">
        <v>1</v>
      </c>
      <c r="D306" s="11">
        <v>41949</v>
      </c>
      <c r="E306" s="12">
        <v>43252</v>
      </c>
      <c r="F306" s="26" t="str">
        <f t="shared" si="10"/>
        <v>42 : 26</v>
      </c>
      <c r="G306" s="14">
        <f t="shared" si="11"/>
        <v>1303</v>
      </c>
      <c r="H306" s="9">
        <v>8</v>
      </c>
      <c r="I306" s="9" t="s">
        <v>148</v>
      </c>
      <c r="J306" s="9" t="s">
        <v>33</v>
      </c>
      <c r="K306" s="9" t="s">
        <v>32</v>
      </c>
      <c r="L306" s="20">
        <v>0.5</v>
      </c>
      <c r="M306" s="14">
        <v>-0.5</v>
      </c>
      <c r="AD306" s="14">
        <v>0</v>
      </c>
      <c r="AE306" s="14">
        <v>0</v>
      </c>
      <c r="AG306" s="14" t="s">
        <v>427</v>
      </c>
      <c r="AH306" s="14" t="s">
        <v>280</v>
      </c>
    </row>
    <row r="307" spans="1:34" s="14" customFormat="1" x14ac:dyDescent="0.25">
      <c r="A307" s="10" t="s">
        <v>420</v>
      </c>
      <c r="B307" s="10"/>
      <c r="C307" s="10">
        <v>1</v>
      </c>
      <c r="D307" s="11">
        <v>41949</v>
      </c>
      <c r="E307" s="12">
        <v>43252</v>
      </c>
      <c r="F307" s="26" t="str">
        <f t="shared" si="10"/>
        <v>42 : 26</v>
      </c>
      <c r="G307" s="14">
        <f t="shared" si="11"/>
        <v>1303</v>
      </c>
      <c r="H307" s="9">
        <v>8</v>
      </c>
      <c r="I307" s="9" t="s">
        <v>152</v>
      </c>
      <c r="J307" s="9" t="s">
        <v>30</v>
      </c>
      <c r="K307" s="9" t="s">
        <v>30</v>
      </c>
      <c r="L307" s="20">
        <v>0.5</v>
      </c>
      <c r="M307" s="14">
        <v>0.5</v>
      </c>
      <c r="S307" s="14">
        <v>0</v>
      </c>
      <c r="Y307" s="14">
        <v>1</v>
      </c>
      <c r="AD307" s="14">
        <v>0</v>
      </c>
      <c r="AE307" s="14">
        <v>0</v>
      </c>
      <c r="AF307" s="14" t="s">
        <v>428</v>
      </c>
      <c r="AG307" s="14" t="s">
        <v>429</v>
      </c>
      <c r="AH307" s="14" t="s">
        <v>280</v>
      </c>
    </row>
    <row r="308" spans="1:34" s="14" customFormat="1" x14ac:dyDescent="0.25">
      <c r="A308" s="10" t="s">
        <v>420</v>
      </c>
      <c r="B308" s="10"/>
      <c r="C308" s="10">
        <v>1</v>
      </c>
      <c r="D308" s="11">
        <v>41949</v>
      </c>
      <c r="E308" s="12">
        <v>43252</v>
      </c>
      <c r="F308" s="26" t="str">
        <f t="shared" si="10"/>
        <v>42 : 26</v>
      </c>
      <c r="G308" s="14">
        <f t="shared" si="11"/>
        <v>1303</v>
      </c>
      <c r="H308" s="9">
        <v>8</v>
      </c>
      <c r="I308" s="9" t="s">
        <v>153</v>
      </c>
      <c r="J308" s="9" t="s">
        <v>39</v>
      </c>
      <c r="K308" s="9" t="s">
        <v>39</v>
      </c>
      <c r="L308" s="20">
        <v>-0.5</v>
      </c>
      <c r="M308" s="9">
        <v>0.5</v>
      </c>
      <c r="O308" s="14">
        <v>1</v>
      </c>
      <c r="R308" s="14">
        <v>1</v>
      </c>
      <c r="AD308" s="14">
        <v>0</v>
      </c>
      <c r="AE308" s="14">
        <v>0</v>
      </c>
      <c r="AF308" s="14" t="s">
        <v>430</v>
      </c>
      <c r="AG308" s="14" t="s">
        <v>431</v>
      </c>
      <c r="AH308" s="14" t="s">
        <v>432</v>
      </c>
    </row>
    <row r="309" spans="1:34" s="14" customFormat="1" x14ac:dyDescent="0.25">
      <c r="A309" s="10" t="s">
        <v>420</v>
      </c>
      <c r="B309" s="10"/>
      <c r="C309" s="10">
        <v>1</v>
      </c>
      <c r="D309" s="11">
        <v>41949</v>
      </c>
      <c r="E309" s="12">
        <v>43252</v>
      </c>
      <c r="F309" s="26" t="str">
        <f t="shared" si="10"/>
        <v>42 : 26</v>
      </c>
      <c r="G309" s="14">
        <f t="shared" si="11"/>
        <v>1303</v>
      </c>
      <c r="H309" s="9">
        <v>8</v>
      </c>
      <c r="I309" s="9" t="s">
        <v>154</v>
      </c>
      <c r="J309" s="9" t="s">
        <v>40</v>
      </c>
      <c r="K309" s="9" t="s">
        <v>40</v>
      </c>
      <c r="L309" s="20">
        <v>0.5</v>
      </c>
      <c r="M309" s="14">
        <v>0.5</v>
      </c>
      <c r="Y309" s="14">
        <v>1</v>
      </c>
      <c r="AD309" s="14">
        <v>0</v>
      </c>
      <c r="AE309" s="14">
        <v>0</v>
      </c>
      <c r="AF309" s="14" t="s">
        <v>433</v>
      </c>
      <c r="AG309" s="14" t="s">
        <v>84</v>
      </c>
    </row>
    <row r="310" spans="1:34" s="14" customFormat="1" x14ac:dyDescent="0.25">
      <c r="A310" s="10" t="s">
        <v>420</v>
      </c>
      <c r="B310" s="10"/>
      <c r="C310" s="10">
        <v>1</v>
      </c>
      <c r="D310" s="11">
        <v>41949</v>
      </c>
      <c r="E310" s="12">
        <v>43252</v>
      </c>
      <c r="F310" s="26" t="str">
        <f t="shared" si="10"/>
        <v>42 : 26</v>
      </c>
      <c r="G310" s="14">
        <f t="shared" si="11"/>
        <v>1303</v>
      </c>
      <c r="H310" s="9">
        <v>8</v>
      </c>
      <c r="I310" s="9" t="s">
        <v>155</v>
      </c>
      <c r="J310" s="9" t="s">
        <v>33</v>
      </c>
      <c r="K310" s="9" t="s">
        <v>33</v>
      </c>
      <c r="L310" s="20">
        <v>-0.5</v>
      </c>
      <c r="M310" s="14">
        <v>0.5</v>
      </c>
      <c r="S310" s="14">
        <v>0</v>
      </c>
      <c r="AD310" s="14">
        <v>0</v>
      </c>
      <c r="AE310" s="14">
        <v>1</v>
      </c>
      <c r="AG310" s="14" t="s">
        <v>434</v>
      </c>
    </row>
    <row r="311" spans="1:34" s="14" customFormat="1" x14ac:dyDescent="0.25">
      <c r="A311" s="10" t="s">
        <v>420</v>
      </c>
      <c r="B311" s="10"/>
      <c r="C311" s="10">
        <v>1</v>
      </c>
      <c r="D311" s="11">
        <v>41949</v>
      </c>
      <c r="E311" s="12">
        <v>43252</v>
      </c>
      <c r="F311" s="26" t="str">
        <f t="shared" si="10"/>
        <v>42 : 26</v>
      </c>
      <c r="G311" s="14">
        <f t="shared" si="11"/>
        <v>1303</v>
      </c>
      <c r="H311" s="9">
        <v>8</v>
      </c>
      <c r="I311" s="9" t="s">
        <v>156</v>
      </c>
      <c r="J311" s="9" t="s">
        <v>30</v>
      </c>
      <c r="K311" s="9" t="s">
        <v>40</v>
      </c>
      <c r="L311" s="20">
        <v>-0.5</v>
      </c>
      <c r="M311" s="14">
        <v>-0.5</v>
      </c>
      <c r="AD311" s="14">
        <v>0</v>
      </c>
      <c r="AE311" s="14">
        <v>1</v>
      </c>
      <c r="AG311" s="14" t="s">
        <v>53</v>
      </c>
    </row>
    <row r="312" spans="1:34" s="14" customFormat="1" x14ac:dyDescent="0.25">
      <c r="A312" s="10" t="s">
        <v>420</v>
      </c>
      <c r="B312" s="10"/>
      <c r="C312" s="10">
        <v>1</v>
      </c>
      <c r="D312" s="11">
        <v>41949</v>
      </c>
      <c r="E312" s="12">
        <v>43252</v>
      </c>
      <c r="F312" s="26" t="str">
        <f t="shared" si="10"/>
        <v>42 : 26</v>
      </c>
      <c r="G312" s="14">
        <f t="shared" si="11"/>
        <v>1303</v>
      </c>
      <c r="H312" s="9">
        <v>8</v>
      </c>
      <c r="I312" s="9" t="s">
        <v>157</v>
      </c>
      <c r="J312" s="9" t="s">
        <v>32</v>
      </c>
      <c r="K312" s="9" t="s">
        <v>35</v>
      </c>
      <c r="L312" s="20">
        <v>0.5</v>
      </c>
      <c r="M312" s="14">
        <v>-0.5</v>
      </c>
      <c r="AD312" s="14">
        <v>0</v>
      </c>
      <c r="AE312" s="14">
        <v>0</v>
      </c>
      <c r="AG312" s="14" t="s">
        <v>435</v>
      </c>
      <c r="AH312" s="14" t="s">
        <v>280</v>
      </c>
    </row>
    <row r="313" spans="1:34" s="14" customFormat="1" x14ac:dyDescent="0.25">
      <c r="A313" s="10" t="s">
        <v>420</v>
      </c>
      <c r="B313" s="10"/>
      <c r="C313" s="10">
        <v>1</v>
      </c>
      <c r="D313" s="11">
        <v>41949</v>
      </c>
      <c r="E313" s="12">
        <v>43252</v>
      </c>
      <c r="F313" s="26" t="str">
        <f t="shared" si="10"/>
        <v>42 : 26</v>
      </c>
      <c r="G313" s="14">
        <f t="shared" si="11"/>
        <v>1303</v>
      </c>
      <c r="H313" s="9">
        <v>8</v>
      </c>
      <c r="I313" s="9" t="s">
        <v>158</v>
      </c>
      <c r="J313" s="9" t="s">
        <v>39</v>
      </c>
      <c r="K313" s="9" t="s">
        <v>39</v>
      </c>
      <c r="L313" s="20">
        <v>0.5</v>
      </c>
      <c r="M313" s="14">
        <v>0.5</v>
      </c>
      <c r="AD313" s="14">
        <v>0</v>
      </c>
      <c r="AE313" s="14">
        <v>0</v>
      </c>
      <c r="AG313" s="14" t="s">
        <v>436</v>
      </c>
    </row>
    <row r="314" spans="1:34" s="14" customFormat="1" x14ac:dyDescent="0.25">
      <c r="A314" s="10" t="s">
        <v>437</v>
      </c>
      <c r="B314" s="10"/>
      <c r="C314" s="10">
        <v>1</v>
      </c>
      <c r="D314" s="11">
        <v>41977</v>
      </c>
      <c r="E314" s="12">
        <v>43264</v>
      </c>
      <c r="F314" s="26" t="str">
        <f t="shared" si="10"/>
        <v>42 : 9</v>
      </c>
      <c r="G314" s="14">
        <f t="shared" si="11"/>
        <v>1287</v>
      </c>
      <c r="H314" s="22">
        <v>2</v>
      </c>
      <c r="I314" s="9" t="s">
        <v>97</v>
      </c>
      <c r="J314" s="9" t="s">
        <v>30</v>
      </c>
      <c r="K314" s="9" t="s">
        <v>30</v>
      </c>
      <c r="L314" s="20">
        <v>-0.5</v>
      </c>
      <c r="M314" s="14">
        <v>0.5</v>
      </c>
      <c r="AA314" s="14">
        <v>1</v>
      </c>
      <c r="AD314" s="13"/>
      <c r="AE314" s="13"/>
      <c r="AF314" s="14" t="s">
        <v>438</v>
      </c>
      <c r="AG314" s="14" t="s">
        <v>163</v>
      </c>
    </row>
    <row r="315" spans="1:34" s="14" customFormat="1" x14ac:dyDescent="0.25">
      <c r="A315" s="10" t="s">
        <v>437</v>
      </c>
      <c r="B315" s="10"/>
      <c r="C315" s="10">
        <v>1</v>
      </c>
      <c r="D315" s="11">
        <v>41977</v>
      </c>
      <c r="E315" s="12">
        <v>43264</v>
      </c>
      <c r="F315" s="26" t="str">
        <f t="shared" si="10"/>
        <v>42 : 9</v>
      </c>
      <c r="G315" s="14">
        <f t="shared" si="11"/>
        <v>1287</v>
      </c>
      <c r="H315" s="22">
        <v>2</v>
      </c>
      <c r="I315" s="9" t="s">
        <v>148</v>
      </c>
      <c r="J315" s="9" t="s">
        <v>33</v>
      </c>
      <c r="K315" s="9" t="s">
        <v>32</v>
      </c>
      <c r="L315" s="20">
        <v>-0.5</v>
      </c>
      <c r="M315" s="14">
        <v>-0.5</v>
      </c>
      <c r="Z315" s="14">
        <v>1</v>
      </c>
      <c r="AA315" s="14">
        <v>1</v>
      </c>
      <c r="AF315" s="14" t="s">
        <v>439</v>
      </c>
      <c r="AH315" s="14" t="s">
        <v>440</v>
      </c>
    </row>
    <row r="316" spans="1:34" s="14" customFormat="1" x14ac:dyDescent="0.25">
      <c r="A316" s="10" t="s">
        <v>437</v>
      </c>
      <c r="B316" s="10"/>
      <c r="C316" s="10">
        <v>1</v>
      </c>
      <c r="D316" s="11">
        <v>41977</v>
      </c>
      <c r="E316" s="12">
        <v>43264</v>
      </c>
      <c r="F316" s="26" t="str">
        <f t="shared" si="10"/>
        <v>42 : 9</v>
      </c>
      <c r="G316" s="14">
        <f t="shared" si="11"/>
        <v>1287</v>
      </c>
      <c r="H316" s="22">
        <v>2</v>
      </c>
      <c r="I316" s="9" t="s">
        <v>147</v>
      </c>
      <c r="J316" s="9" t="s">
        <v>35</v>
      </c>
      <c r="K316" s="9" t="s">
        <v>35</v>
      </c>
      <c r="L316" s="20">
        <v>0.5</v>
      </c>
      <c r="M316" s="14">
        <v>0.5</v>
      </c>
      <c r="V316" s="14" t="s">
        <v>441</v>
      </c>
      <c r="W316" s="14">
        <v>1</v>
      </c>
      <c r="AA316" s="14">
        <v>1</v>
      </c>
      <c r="AG316" s="14" t="s">
        <v>442</v>
      </c>
    </row>
    <row r="317" spans="1:34" x14ac:dyDescent="0.25">
      <c r="A317" s="3" t="s">
        <v>437</v>
      </c>
      <c r="C317" s="3">
        <v>1</v>
      </c>
      <c r="D317" s="4">
        <v>41977</v>
      </c>
      <c r="E317" s="5">
        <v>43264</v>
      </c>
      <c r="F317" s="25" t="str">
        <f t="shared" si="10"/>
        <v>42 : 9</v>
      </c>
      <c r="G317">
        <f t="shared" si="11"/>
        <v>1287</v>
      </c>
      <c r="H317" s="18">
        <v>2</v>
      </c>
      <c r="I317" s="7" t="s">
        <v>146</v>
      </c>
      <c r="J317" s="7" t="s">
        <v>32</v>
      </c>
      <c r="K317" s="9" t="s">
        <v>32</v>
      </c>
      <c r="L317" s="19">
        <v>0.5</v>
      </c>
      <c r="M317">
        <v>0.5</v>
      </c>
      <c r="AA317">
        <v>1</v>
      </c>
      <c r="AF317" t="s">
        <v>443</v>
      </c>
      <c r="AG317" t="s">
        <v>444</v>
      </c>
    </row>
    <row r="318" spans="1:34" x14ac:dyDescent="0.25">
      <c r="A318" s="3" t="s">
        <v>437</v>
      </c>
      <c r="C318" s="3">
        <v>1</v>
      </c>
      <c r="D318" s="4">
        <v>41977</v>
      </c>
      <c r="E318" s="5">
        <v>43264</v>
      </c>
      <c r="F318" s="25" t="str">
        <f t="shared" si="10"/>
        <v>42 : 9</v>
      </c>
      <c r="G318">
        <f t="shared" si="11"/>
        <v>1287</v>
      </c>
      <c r="H318" s="18">
        <v>2</v>
      </c>
      <c r="I318" s="7" t="s">
        <v>145</v>
      </c>
      <c r="J318" s="7" t="s">
        <v>35</v>
      </c>
      <c r="K318" s="9" t="s">
        <v>33</v>
      </c>
      <c r="L318" s="19">
        <v>-0.5</v>
      </c>
      <c r="M318">
        <v>-0.5</v>
      </c>
      <c r="V318" t="s">
        <v>445</v>
      </c>
      <c r="W318">
        <v>1</v>
      </c>
      <c r="Y318">
        <v>1</v>
      </c>
      <c r="AA318">
        <v>1</v>
      </c>
      <c r="AF318" t="s">
        <v>446</v>
      </c>
      <c r="AG318" t="s">
        <v>447</v>
      </c>
    </row>
    <row r="319" spans="1:34" x14ac:dyDescent="0.25">
      <c r="A319" s="3" t="s">
        <v>437</v>
      </c>
      <c r="C319" s="3">
        <v>1</v>
      </c>
      <c r="D319" s="4">
        <v>41977</v>
      </c>
      <c r="E319" s="5">
        <v>43264</v>
      </c>
      <c r="F319" s="25" t="str">
        <f t="shared" si="10"/>
        <v>42 : 9</v>
      </c>
      <c r="G319">
        <f t="shared" si="11"/>
        <v>1287</v>
      </c>
      <c r="H319" s="18">
        <v>2</v>
      </c>
      <c r="I319" s="7" t="s">
        <v>143</v>
      </c>
      <c r="J319" s="7" t="s">
        <v>40</v>
      </c>
      <c r="K319" s="9" t="s">
        <v>39</v>
      </c>
      <c r="L319" s="19">
        <v>0.5</v>
      </c>
      <c r="M319">
        <v>-0.5</v>
      </c>
      <c r="AD319">
        <v>0</v>
      </c>
      <c r="AE319">
        <v>0</v>
      </c>
      <c r="AG319" t="s">
        <v>448</v>
      </c>
    </row>
    <row r="320" spans="1:34" x14ac:dyDescent="0.25">
      <c r="A320" s="3" t="s">
        <v>437</v>
      </c>
      <c r="C320" s="3">
        <v>1</v>
      </c>
      <c r="D320" s="4">
        <v>41977</v>
      </c>
      <c r="E320" s="5">
        <v>43264</v>
      </c>
      <c r="F320" s="25" t="str">
        <f t="shared" si="10"/>
        <v>42 : 9</v>
      </c>
      <c r="G320">
        <f t="shared" si="11"/>
        <v>1287</v>
      </c>
      <c r="H320" s="18">
        <v>2</v>
      </c>
      <c r="I320" s="7" t="s">
        <v>158</v>
      </c>
      <c r="J320" s="7" t="s">
        <v>39</v>
      </c>
      <c r="K320" s="9" t="s">
        <v>39</v>
      </c>
      <c r="L320" s="19">
        <v>-0.5</v>
      </c>
      <c r="M320">
        <v>0.5</v>
      </c>
      <c r="V320" t="s">
        <v>445</v>
      </c>
      <c r="W320">
        <v>1</v>
      </c>
      <c r="Y320">
        <v>1</v>
      </c>
      <c r="AA320">
        <v>1</v>
      </c>
      <c r="AF320" t="s">
        <v>449</v>
      </c>
      <c r="AG320" t="s">
        <v>450</v>
      </c>
    </row>
    <row r="321" spans="1:34" x14ac:dyDescent="0.25">
      <c r="A321" s="3" t="s">
        <v>437</v>
      </c>
      <c r="C321" s="3">
        <v>1</v>
      </c>
      <c r="D321" s="4">
        <v>41977</v>
      </c>
      <c r="E321" s="5">
        <v>43264</v>
      </c>
      <c r="F321" s="25" t="str">
        <f t="shared" si="10"/>
        <v>42 : 9</v>
      </c>
      <c r="G321">
        <f t="shared" si="11"/>
        <v>1287</v>
      </c>
      <c r="H321" s="18">
        <v>2</v>
      </c>
      <c r="I321" s="7" t="s">
        <v>157</v>
      </c>
      <c r="J321" s="7" t="s">
        <v>32</v>
      </c>
      <c r="K321" s="9" t="s">
        <v>35</v>
      </c>
      <c r="L321" s="19">
        <v>-0.5</v>
      </c>
      <c r="M321">
        <v>-0.5</v>
      </c>
      <c r="V321" t="s">
        <v>441</v>
      </c>
      <c r="W321">
        <v>1</v>
      </c>
      <c r="AA321">
        <v>1</v>
      </c>
      <c r="AG321" t="s">
        <v>451</v>
      </c>
    </row>
    <row r="322" spans="1:34" x14ac:dyDescent="0.25">
      <c r="A322" s="3" t="s">
        <v>437</v>
      </c>
      <c r="C322" s="3">
        <v>1</v>
      </c>
      <c r="D322" s="4">
        <v>41977</v>
      </c>
      <c r="E322" s="5">
        <v>43264</v>
      </c>
      <c r="F322" s="25" t="str">
        <f t="shared" si="10"/>
        <v>42 : 9</v>
      </c>
      <c r="G322">
        <f t="shared" si="11"/>
        <v>1287</v>
      </c>
      <c r="H322" s="18">
        <v>2</v>
      </c>
      <c r="I322" s="7" t="s">
        <v>156</v>
      </c>
      <c r="J322" s="7" t="s">
        <v>30</v>
      </c>
      <c r="K322" s="9" t="s">
        <v>40</v>
      </c>
      <c r="L322" s="19">
        <v>0.5</v>
      </c>
      <c r="M322">
        <v>-0.5</v>
      </c>
      <c r="AD322">
        <v>0</v>
      </c>
      <c r="AE322">
        <v>0</v>
      </c>
      <c r="AG322" t="s">
        <v>53</v>
      </c>
    </row>
    <row r="323" spans="1:34" x14ac:dyDescent="0.25">
      <c r="A323" s="3" t="s">
        <v>437</v>
      </c>
      <c r="C323" s="3">
        <v>1</v>
      </c>
      <c r="D323" s="4">
        <v>41977</v>
      </c>
      <c r="E323" s="5">
        <v>43264</v>
      </c>
      <c r="F323" s="25" t="str">
        <f t="shared" si="10"/>
        <v>42 : 9</v>
      </c>
      <c r="G323">
        <f t="shared" si="11"/>
        <v>1287</v>
      </c>
      <c r="H323" s="18">
        <v>2</v>
      </c>
      <c r="I323" s="7" t="s">
        <v>155</v>
      </c>
      <c r="J323" s="7" t="s">
        <v>33</v>
      </c>
      <c r="K323" s="9" t="s">
        <v>33</v>
      </c>
      <c r="L323" s="19">
        <v>0.5</v>
      </c>
      <c r="M323">
        <v>0.5</v>
      </c>
      <c r="AA323">
        <v>1</v>
      </c>
      <c r="AF323" t="s">
        <v>452</v>
      </c>
      <c r="AG323" t="s">
        <v>453</v>
      </c>
    </row>
    <row r="324" spans="1:34" x14ac:dyDescent="0.25">
      <c r="A324" s="3" t="s">
        <v>437</v>
      </c>
      <c r="C324" s="3">
        <v>1</v>
      </c>
      <c r="D324" s="4">
        <v>41977</v>
      </c>
      <c r="E324" s="5">
        <v>43264</v>
      </c>
      <c r="F324" s="25" t="str">
        <f t="shared" si="10"/>
        <v>42 : 9</v>
      </c>
      <c r="G324">
        <f t="shared" si="11"/>
        <v>1287</v>
      </c>
      <c r="H324" s="18">
        <v>2</v>
      </c>
      <c r="I324" s="7" t="s">
        <v>154</v>
      </c>
      <c r="J324" s="7" t="s">
        <v>40</v>
      </c>
      <c r="K324" s="9" t="s">
        <v>40</v>
      </c>
      <c r="L324" s="19">
        <v>-0.5</v>
      </c>
      <c r="M324">
        <v>0.5</v>
      </c>
      <c r="Y324">
        <v>1</v>
      </c>
      <c r="AA324">
        <v>1</v>
      </c>
      <c r="AF324" t="s">
        <v>454</v>
      </c>
      <c r="AG324" t="s">
        <v>132</v>
      </c>
    </row>
    <row r="325" spans="1:34" x14ac:dyDescent="0.25">
      <c r="A325" s="3" t="s">
        <v>437</v>
      </c>
      <c r="C325" s="3">
        <v>1</v>
      </c>
      <c r="D325" s="4">
        <v>41977</v>
      </c>
      <c r="E325" s="5">
        <v>43264</v>
      </c>
      <c r="F325" s="25" t="str">
        <f t="shared" si="10"/>
        <v>42 : 9</v>
      </c>
      <c r="G325">
        <f t="shared" si="11"/>
        <v>1287</v>
      </c>
      <c r="H325" s="18">
        <v>2</v>
      </c>
      <c r="I325" s="7" t="s">
        <v>153</v>
      </c>
      <c r="J325" s="7" t="s">
        <v>39</v>
      </c>
      <c r="K325" s="9" t="s">
        <v>30</v>
      </c>
      <c r="L325" s="19">
        <v>0.5</v>
      </c>
      <c r="M325">
        <v>-0.5</v>
      </c>
      <c r="V325" t="s">
        <v>445</v>
      </c>
      <c r="W325">
        <v>1</v>
      </c>
      <c r="AA325">
        <v>1</v>
      </c>
      <c r="AG325" t="s">
        <v>455</v>
      </c>
    </row>
    <row r="326" spans="1:34" x14ac:dyDescent="0.25">
      <c r="A326" s="3" t="s">
        <v>456</v>
      </c>
      <c r="C326" s="3">
        <v>0</v>
      </c>
      <c r="D326" s="4">
        <v>42002</v>
      </c>
      <c r="E326" s="5">
        <v>43300</v>
      </c>
      <c r="F326" s="25" t="str">
        <f t="shared" si="10"/>
        <v>42 : 20</v>
      </c>
      <c r="G326">
        <f t="shared" si="11"/>
        <v>1298</v>
      </c>
      <c r="H326" s="9">
        <v>5</v>
      </c>
      <c r="I326" s="9">
        <v>6</v>
      </c>
      <c r="J326" s="9" t="s">
        <v>39</v>
      </c>
      <c r="K326" s="9" t="s">
        <v>40</v>
      </c>
      <c r="L326" s="20">
        <v>0.5</v>
      </c>
      <c r="M326" s="14">
        <v>-0.5</v>
      </c>
      <c r="N326" s="14"/>
      <c r="O326" s="14"/>
      <c r="P326" s="14"/>
      <c r="Y326">
        <v>1</v>
      </c>
      <c r="AD326" s="14">
        <v>1</v>
      </c>
      <c r="AE326" s="14">
        <v>1</v>
      </c>
      <c r="AF326" t="s">
        <v>457</v>
      </c>
      <c r="AG326" t="s">
        <v>317</v>
      </c>
    </row>
    <row r="327" spans="1:34" x14ac:dyDescent="0.25">
      <c r="A327" s="3" t="s">
        <v>456</v>
      </c>
      <c r="C327" s="3">
        <v>0</v>
      </c>
      <c r="D327" s="4">
        <v>42002</v>
      </c>
      <c r="E327" s="5">
        <v>43300</v>
      </c>
      <c r="F327" s="25" t="str">
        <f t="shared" si="10"/>
        <v>42 : 20</v>
      </c>
      <c r="G327">
        <f t="shared" si="11"/>
        <v>1298</v>
      </c>
      <c r="H327" s="9">
        <v>5</v>
      </c>
      <c r="I327" s="9">
        <v>5</v>
      </c>
      <c r="J327" s="9" t="s">
        <v>33</v>
      </c>
      <c r="K327" s="9" t="s">
        <v>35</v>
      </c>
      <c r="L327" s="20">
        <v>-0.5</v>
      </c>
      <c r="M327" s="14">
        <v>-0.5</v>
      </c>
      <c r="N327" s="14"/>
      <c r="O327" s="14"/>
      <c r="P327" s="14"/>
      <c r="Z327">
        <v>1</v>
      </c>
      <c r="AA327">
        <v>1</v>
      </c>
      <c r="AD327" s="14"/>
      <c r="AF327" t="s">
        <v>458</v>
      </c>
      <c r="AG327" t="s">
        <v>163</v>
      </c>
      <c r="AH327" t="s">
        <v>459</v>
      </c>
    </row>
    <row r="328" spans="1:34" x14ac:dyDescent="0.25">
      <c r="A328" s="3" t="s">
        <v>456</v>
      </c>
      <c r="C328" s="3">
        <v>0</v>
      </c>
      <c r="D328" s="4">
        <v>42002</v>
      </c>
      <c r="E328" s="5">
        <v>43300</v>
      </c>
      <c r="F328" s="25" t="str">
        <f t="shared" si="10"/>
        <v>42 : 20</v>
      </c>
      <c r="G328">
        <f t="shared" si="11"/>
        <v>1298</v>
      </c>
      <c r="H328" s="9">
        <v>5</v>
      </c>
      <c r="I328" s="9">
        <v>4</v>
      </c>
      <c r="J328" s="9" t="s">
        <v>32</v>
      </c>
      <c r="K328" s="9" t="s">
        <v>32</v>
      </c>
      <c r="L328" s="20">
        <v>0.5</v>
      </c>
      <c r="M328" s="14">
        <v>0.5</v>
      </c>
      <c r="N328" s="14"/>
      <c r="O328" s="14"/>
      <c r="P328" s="14"/>
      <c r="AD328" s="14">
        <v>0</v>
      </c>
      <c r="AE328" s="14">
        <v>0</v>
      </c>
      <c r="AG328" t="s">
        <v>305</v>
      </c>
    </row>
    <row r="329" spans="1:34" x14ac:dyDescent="0.25">
      <c r="A329" s="3" t="s">
        <v>456</v>
      </c>
      <c r="C329" s="3">
        <v>0</v>
      </c>
      <c r="D329" s="4">
        <v>42002</v>
      </c>
      <c r="E329" s="5">
        <v>43300</v>
      </c>
      <c r="F329" s="25" t="str">
        <f t="shared" si="10"/>
        <v>42 : 20</v>
      </c>
      <c r="G329">
        <f t="shared" si="11"/>
        <v>1298</v>
      </c>
      <c r="H329" s="9">
        <v>5</v>
      </c>
      <c r="I329" s="9">
        <v>3</v>
      </c>
      <c r="J329" s="9" t="s">
        <v>35</v>
      </c>
      <c r="K329" s="9" t="s">
        <v>35</v>
      </c>
      <c r="L329" s="20">
        <v>0.5</v>
      </c>
      <c r="M329" s="14">
        <v>0.5</v>
      </c>
      <c r="N329" s="14"/>
      <c r="O329" s="14"/>
      <c r="P329" s="14"/>
      <c r="AD329" s="14">
        <v>0</v>
      </c>
      <c r="AE329" s="14">
        <v>0</v>
      </c>
      <c r="AG329" t="s">
        <v>45</v>
      </c>
    </row>
    <row r="330" spans="1:34" x14ac:dyDescent="0.25">
      <c r="A330" s="3" t="s">
        <v>456</v>
      </c>
      <c r="C330" s="3">
        <v>0</v>
      </c>
      <c r="D330" s="4">
        <v>42002</v>
      </c>
      <c r="E330" s="5">
        <v>43300</v>
      </c>
      <c r="F330" s="25" t="str">
        <f t="shared" si="10"/>
        <v>42 : 20</v>
      </c>
      <c r="G330">
        <f t="shared" si="11"/>
        <v>1298</v>
      </c>
      <c r="H330" s="9">
        <v>5</v>
      </c>
      <c r="I330" s="9">
        <v>2</v>
      </c>
      <c r="J330" s="9" t="s">
        <v>32</v>
      </c>
      <c r="K330" s="9" t="s">
        <v>33</v>
      </c>
      <c r="L330" s="20">
        <v>-0.5</v>
      </c>
      <c r="M330" s="14">
        <v>-0.5</v>
      </c>
      <c r="N330" s="14"/>
      <c r="O330" s="14"/>
      <c r="P330" s="14"/>
      <c r="T330" s="14">
        <v>1</v>
      </c>
      <c r="U330" s="14"/>
      <c r="AD330" s="14">
        <v>0</v>
      </c>
      <c r="AE330" s="14">
        <v>1</v>
      </c>
      <c r="AG330" t="s">
        <v>460</v>
      </c>
    </row>
    <row r="331" spans="1:34" x14ac:dyDescent="0.25">
      <c r="A331" s="3" t="s">
        <v>456</v>
      </c>
      <c r="C331" s="3">
        <v>0</v>
      </c>
      <c r="D331" s="4">
        <v>42002</v>
      </c>
      <c r="E331" s="5">
        <v>43300</v>
      </c>
      <c r="F331" s="25" t="str">
        <f t="shared" si="10"/>
        <v>42 : 20</v>
      </c>
      <c r="G331">
        <f t="shared" si="11"/>
        <v>1298</v>
      </c>
      <c r="H331" s="9">
        <v>5</v>
      </c>
      <c r="I331" s="9">
        <v>1</v>
      </c>
      <c r="J331" s="9" t="s">
        <v>30</v>
      </c>
      <c r="K331" s="9" t="s">
        <v>30</v>
      </c>
      <c r="L331" s="20">
        <v>-0.5</v>
      </c>
      <c r="M331" s="14">
        <v>0.5</v>
      </c>
      <c r="N331" s="14"/>
      <c r="O331" s="14"/>
      <c r="P331" s="14"/>
      <c r="AD331" s="14">
        <v>0</v>
      </c>
      <c r="AE331" s="14">
        <v>1</v>
      </c>
      <c r="AG331" t="s">
        <v>53</v>
      </c>
    </row>
    <row r="332" spans="1:34" x14ac:dyDescent="0.25">
      <c r="A332" s="3" t="s">
        <v>456</v>
      </c>
      <c r="C332" s="3">
        <v>0</v>
      </c>
      <c r="D332" s="4">
        <v>42002</v>
      </c>
      <c r="E332" s="5">
        <v>43300</v>
      </c>
      <c r="F332" s="25" t="str">
        <f t="shared" si="10"/>
        <v>42 : 20</v>
      </c>
      <c r="G332">
        <f t="shared" si="11"/>
        <v>1298</v>
      </c>
      <c r="H332" s="9">
        <v>5</v>
      </c>
      <c r="I332" s="9">
        <v>12</v>
      </c>
      <c r="J332" s="9" t="s">
        <v>30</v>
      </c>
      <c r="K332" s="9" t="s">
        <v>39</v>
      </c>
      <c r="L332" s="20">
        <v>0.5</v>
      </c>
      <c r="M332" s="14">
        <v>-0.5</v>
      </c>
      <c r="N332" s="14"/>
      <c r="O332" s="14"/>
      <c r="P332" s="14"/>
      <c r="AD332" s="14">
        <v>0</v>
      </c>
      <c r="AE332" s="14">
        <v>0</v>
      </c>
      <c r="AG332" t="s">
        <v>93</v>
      </c>
    </row>
    <row r="333" spans="1:34" x14ac:dyDescent="0.25">
      <c r="A333" s="3" t="s">
        <v>456</v>
      </c>
      <c r="C333" s="3">
        <v>0</v>
      </c>
      <c r="D333" s="4">
        <v>42002</v>
      </c>
      <c r="E333" s="5">
        <v>43300</v>
      </c>
      <c r="F333" s="25" t="str">
        <f t="shared" si="10"/>
        <v>42 : 20</v>
      </c>
      <c r="G333">
        <f t="shared" si="11"/>
        <v>1298</v>
      </c>
      <c r="H333" s="9">
        <v>5</v>
      </c>
      <c r="I333" s="9">
        <v>11</v>
      </c>
      <c r="J333" s="9" t="s">
        <v>40</v>
      </c>
      <c r="K333" s="9" t="s">
        <v>40</v>
      </c>
      <c r="L333" s="20">
        <v>-0.5</v>
      </c>
      <c r="M333" s="14">
        <v>0.5</v>
      </c>
      <c r="N333" s="14"/>
      <c r="O333" s="14"/>
      <c r="P333" s="14"/>
      <c r="AD333" s="14">
        <v>0</v>
      </c>
      <c r="AE333" s="14">
        <v>1</v>
      </c>
      <c r="AG333" t="s">
        <v>138</v>
      </c>
    </row>
    <row r="334" spans="1:34" x14ac:dyDescent="0.25">
      <c r="A334" s="3" t="s">
        <v>456</v>
      </c>
      <c r="C334" s="3">
        <v>0</v>
      </c>
      <c r="D334" s="4">
        <v>42002</v>
      </c>
      <c r="E334" s="5">
        <v>43300</v>
      </c>
      <c r="F334" s="25" t="str">
        <f t="shared" si="10"/>
        <v>42 : 20</v>
      </c>
      <c r="G334">
        <f t="shared" si="11"/>
        <v>1298</v>
      </c>
      <c r="H334" s="9">
        <v>5</v>
      </c>
      <c r="I334" s="9">
        <v>10</v>
      </c>
      <c r="J334" s="9" t="s">
        <v>33</v>
      </c>
      <c r="K334" s="9" t="s">
        <v>33</v>
      </c>
      <c r="L334" s="20">
        <v>0.5</v>
      </c>
      <c r="M334" s="14">
        <v>0.5</v>
      </c>
      <c r="N334" s="14"/>
      <c r="O334" s="14"/>
      <c r="P334" s="14"/>
      <c r="AD334" s="14">
        <v>0</v>
      </c>
      <c r="AE334" s="14">
        <v>0</v>
      </c>
      <c r="AG334" t="s">
        <v>45</v>
      </c>
    </row>
    <row r="335" spans="1:34" x14ac:dyDescent="0.25">
      <c r="A335" s="3" t="s">
        <v>456</v>
      </c>
      <c r="C335" s="3">
        <v>0</v>
      </c>
      <c r="D335" s="4">
        <v>42002</v>
      </c>
      <c r="E335" s="5">
        <v>43300</v>
      </c>
      <c r="F335" s="25" t="str">
        <f t="shared" si="10"/>
        <v>42 : 20</v>
      </c>
      <c r="G335">
        <f t="shared" si="11"/>
        <v>1298</v>
      </c>
      <c r="H335" s="9">
        <v>5</v>
      </c>
      <c r="I335" s="9">
        <v>9</v>
      </c>
      <c r="J335" s="9" t="s">
        <v>40</v>
      </c>
      <c r="K335" s="9" t="s">
        <v>30</v>
      </c>
      <c r="L335" s="20">
        <v>0.5</v>
      </c>
      <c r="M335" s="14">
        <v>-0.5</v>
      </c>
      <c r="N335" s="14"/>
      <c r="O335" s="14"/>
      <c r="P335" s="14"/>
      <c r="AD335" s="14">
        <v>0</v>
      </c>
      <c r="AE335" s="14">
        <v>0</v>
      </c>
      <c r="AG335" t="s">
        <v>90</v>
      </c>
    </row>
    <row r="336" spans="1:34" x14ac:dyDescent="0.25">
      <c r="A336" s="3" t="s">
        <v>456</v>
      </c>
      <c r="C336" s="3">
        <v>0</v>
      </c>
      <c r="D336" s="4">
        <v>42002</v>
      </c>
      <c r="E336" s="5">
        <v>43300</v>
      </c>
      <c r="F336" s="25" t="str">
        <f t="shared" si="10"/>
        <v>42 : 20</v>
      </c>
      <c r="G336">
        <f t="shared" si="11"/>
        <v>1298</v>
      </c>
      <c r="H336" s="9">
        <v>5</v>
      </c>
      <c r="I336" s="9">
        <v>8</v>
      </c>
      <c r="J336" s="9" t="s">
        <v>35</v>
      </c>
      <c r="K336" s="9" t="s">
        <v>32</v>
      </c>
      <c r="L336" s="20">
        <v>-0.5</v>
      </c>
      <c r="M336" s="14">
        <v>-0.5</v>
      </c>
      <c r="N336" s="14"/>
      <c r="O336" s="14"/>
      <c r="P336" s="14"/>
      <c r="AD336" s="14">
        <v>0</v>
      </c>
      <c r="AE336" s="14">
        <v>1</v>
      </c>
      <c r="AG336" t="s">
        <v>218</v>
      </c>
    </row>
    <row r="337" spans="1:34" x14ac:dyDescent="0.25">
      <c r="A337" s="3" t="s">
        <v>456</v>
      </c>
      <c r="C337" s="3">
        <v>0</v>
      </c>
      <c r="D337" s="4">
        <v>42002</v>
      </c>
      <c r="E337" s="5">
        <v>43300</v>
      </c>
      <c r="F337" s="25" t="str">
        <f t="shared" si="10"/>
        <v>42 : 20</v>
      </c>
      <c r="G337">
        <f t="shared" si="11"/>
        <v>1298</v>
      </c>
      <c r="H337" s="9">
        <v>5</v>
      </c>
      <c r="I337" s="9">
        <v>7</v>
      </c>
      <c r="J337" s="9" t="s">
        <v>39</v>
      </c>
      <c r="K337" s="9" t="s">
        <v>39</v>
      </c>
      <c r="L337" s="20">
        <v>-0.5</v>
      </c>
      <c r="M337" s="14">
        <v>0.5</v>
      </c>
      <c r="N337" s="14"/>
      <c r="O337" s="14"/>
      <c r="P337" s="14"/>
      <c r="AD337" s="14">
        <v>0</v>
      </c>
      <c r="AE337" s="14">
        <v>1</v>
      </c>
      <c r="AG337" t="s">
        <v>461</v>
      </c>
      <c r="AH337" t="s">
        <v>280</v>
      </c>
    </row>
    <row r="338" spans="1:34" s="14" customFormat="1" x14ac:dyDescent="0.25">
      <c r="A338" s="10" t="s">
        <v>462</v>
      </c>
      <c r="B338" s="10"/>
      <c r="C338" s="10">
        <v>1</v>
      </c>
      <c r="D338" s="11">
        <v>42003</v>
      </c>
      <c r="E338" s="12">
        <v>43293</v>
      </c>
      <c r="F338" s="26" t="str">
        <f t="shared" si="10"/>
        <v>42 : 12</v>
      </c>
      <c r="G338" s="14">
        <f t="shared" si="11"/>
        <v>1290</v>
      </c>
      <c r="H338" s="22">
        <v>4</v>
      </c>
      <c r="I338" s="9" t="s">
        <v>97</v>
      </c>
      <c r="J338" s="9" t="s">
        <v>30</v>
      </c>
      <c r="K338" s="9" t="s">
        <v>30</v>
      </c>
      <c r="L338" s="20">
        <v>0.5</v>
      </c>
      <c r="M338" s="14">
        <v>0.5</v>
      </c>
      <c r="AD338" s="14">
        <v>0</v>
      </c>
      <c r="AE338" s="14">
        <v>0</v>
      </c>
      <c r="AG338" s="14" t="s">
        <v>98</v>
      </c>
    </row>
    <row r="339" spans="1:34" s="14" customFormat="1" x14ac:dyDescent="0.25">
      <c r="A339" s="10" t="s">
        <v>462</v>
      </c>
      <c r="B339" s="10"/>
      <c r="C339" s="10">
        <v>1</v>
      </c>
      <c r="D339" s="11">
        <v>42003</v>
      </c>
      <c r="E339" s="12">
        <v>43293</v>
      </c>
      <c r="F339" s="26" t="str">
        <f t="shared" si="10"/>
        <v>42 : 12</v>
      </c>
      <c r="G339" s="14">
        <f t="shared" si="11"/>
        <v>1290</v>
      </c>
      <c r="H339" s="22">
        <v>4</v>
      </c>
      <c r="I339" s="9" t="s">
        <v>99</v>
      </c>
      <c r="J339" s="9" t="s">
        <v>33</v>
      </c>
      <c r="K339" s="9" t="s">
        <v>32</v>
      </c>
      <c r="L339" s="20">
        <v>0.5</v>
      </c>
      <c r="M339" s="14">
        <v>-0.5</v>
      </c>
      <c r="R339" s="14">
        <v>1</v>
      </c>
      <c r="Y339" s="14">
        <v>1</v>
      </c>
      <c r="AD339" s="14">
        <v>0</v>
      </c>
      <c r="AE339" s="14">
        <v>0</v>
      </c>
      <c r="AF339" s="14" t="s">
        <v>463</v>
      </c>
      <c r="AG339" s="14" t="s">
        <v>274</v>
      </c>
    </row>
    <row r="340" spans="1:34" s="14" customFormat="1" x14ac:dyDescent="0.25">
      <c r="A340" s="10" t="s">
        <v>462</v>
      </c>
      <c r="B340" s="10"/>
      <c r="C340" s="10">
        <v>1</v>
      </c>
      <c r="D340" s="11">
        <v>42003</v>
      </c>
      <c r="E340" s="12">
        <v>43293</v>
      </c>
      <c r="F340" s="26" t="str">
        <f t="shared" si="10"/>
        <v>42 : 12</v>
      </c>
      <c r="G340" s="14">
        <f t="shared" si="11"/>
        <v>1290</v>
      </c>
      <c r="H340" s="22">
        <v>4</v>
      </c>
      <c r="I340" s="9" t="s">
        <v>103</v>
      </c>
      <c r="J340" s="9" t="s">
        <v>35</v>
      </c>
      <c r="K340" s="9" t="s">
        <v>35</v>
      </c>
      <c r="L340" s="20">
        <v>-0.5</v>
      </c>
      <c r="M340" s="14">
        <v>0.5</v>
      </c>
      <c r="AD340" s="14">
        <v>0</v>
      </c>
      <c r="AE340" s="14">
        <v>1</v>
      </c>
      <c r="AG340" s="14" t="s">
        <v>464</v>
      </c>
      <c r="AH340" s="14" t="s">
        <v>465</v>
      </c>
    </row>
    <row r="341" spans="1:34" s="14" customFormat="1" x14ac:dyDescent="0.25">
      <c r="A341" s="10" t="s">
        <v>462</v>
      </c>
      <c r="B341" s="10"/>
      <c r="C341" s="10">
        <v>1</v>
      </c>
      <c r="D341" s="11">
        <v>42003</v>
      </c>
      <c r="E341" s="12">
        <v>43293</v>
      </c>
      <c r="F341" s="26" t="str">
        <f t="shared" si="10"/>
        <v>42 : 12</v>
      </c>
      <c r="G341" s="14">
        <f t="shared" si="11"/>
        <v>1290</v>
      </c>
      <c r="H341" s="22">
        <v>4</v>
      </c>
      <c r="I341" s="9" t="s">
        <v>104</v>
      </c>
      <c r="J341" s="9" t="s">
        <v>32</v>
      </c>
      <c r="K341" s="9" t="s">
        <v>32</v>
      </c>
      <c r="L341" s="20">
        <v>-0.5</v>
      </c>
      <c r="M341" s="14">
        <v>0.5</v>
      </c>
      <c r="AD341" s="14">
        <v>0</v>
      </c>
      <c r="AE341" s="14">
        <v>1</v>
      </c>
      <c r="AG341" s="14" t="s">
        <v>466</v>
      </c>
    </row>
    <row r="342" spans="1:34" s="14" customFormat="1" x14ac:dyDescent="0.25">
      <c r="A342" s="10" t="s">
        <v>462</v>
      </c>
      <c r="B342" s="10"/>
      <c r="C342" s="10">
        <v>1</v>
      </c>
      <c r="D342" s="11">
        <v>42003</v>
      </c>
      <c r="E342" s="12">
        <v>43293</v>
      </c>
      <c r="F342" s="26" t="str">
        <f t="shared" si="10"/>
        <v>42 : 12</v>
      </c>
      <c r="G342" s="14">
        <f t="shared" si="11"/>
        <v>1290</v>
      </c>
      <c r="H342" s="22">
        <v>4</v>
      </c>
      <c r="I342" s="9" t="s">
        <v>107</v>
      </c>
      <c r="J342" s="9" t="s">
        <v>35</v>
      </c>
      <c r="K342" s="9" t="s">
        <v>33</v>
      </c>
      <c r="L342" s="20">
        <v>0.5</v>
      </c>
      <c r="M342" s="14">
        <v>-0.5</v>
      </c>
      <c r="AD342" s="14">
        <v>0</v>
      </c>
      <c r="AE342" s="14">
        <v>0</v>
      </c>
      <c r="AG342" s="14" t="s">
        <v>467</v>
      </c>
    </row>
    <row r="343" spans="1:34" s="14" customFormat="1" x14ac:dyDescent="0.25">
      <c r="A343" s="10" t="s">
        <v>462</v>
      </c>
      <c r="B343" s="10"/>
      <c r="C343" s="10">
        <v>1</v>
      </c>
      <c r="D343" s="11">
        <v>42003</v>
      </c>
      <c r="E343" s="12">
        <v>43293</v>
      </c>
      <c r="F343" s="26" t="str">
        <f t="shared" si="10"/>
        <v>42 : 12</v>
      </c>
      <c r="G343" s="14">
        <f t="shared" si="11"/>
        <v>1290</v>
      </c>
      <c r="H343" s="22">
        <v>4</v>
      </c>
      <c r="I343" s="9" t="s">
        <v>110</v>
      </c>
      <c r="J343" s="9" t="s">
        <v>40</v>
      </c>
      <c r="K343" s="9" t="s">
        <v>39</v>
      </c>
      <c r="L343" s="20">
        <v>-0.5</v>
      </c>
      <c r="M343" s="14">
        <v>-0.5</v>
      </c>
      <c r="AD343" s="14">
        <v>0</v>
      </c>
      <c r="AE343" s="14">
        <v>1</v>
      </c>
      <c r="AG343" s="14" t="s">
        <v>354</v>
      </c>
    </row>
    <row r="344" spans="1:34" s="14" customFormat="1" x14ac:dyDescent="0.25">
      <c r="A344" s="10" t="s">
        <v>462</v>
      </c>
      <c r="B344" s="10"/>
      <c r="C344" s="10">
        <v>1</v>
      </c>
      <c r="D344" s="11">
        <v>42003</v>
      </c>
      <c r="E344" s="12">
        <v>43293</v>
      </c>
      <c r="F344" s="26" t="str">
        <f t="shared" si="10"/>
        <v>42 : 12</v>
      </c>
      <c r="G344" s="14">
        <f t="shared" si="11"/>
        <v>1290</v>
      </c>
      <c r="H344" s="22">
        <v>4</v>
      </c>
      <c r="I344" s="9" t="s">
        <v>113</v>
      </c>
      <c r="J344" s="9" t="s">
        <v>39</v>
      </c>
      <c r="K344" s="9" t="s">
        <v>39</v>
      </c>
      <c r="L344" s="20">
        <v>0.5</v>
      </c>
      <c r="M344" s="14">
        <v>0.5</v>
      </c>
      <c r="AD344" s="14">
        <v>0</v>
      </c>
      <c r="AE344" s="14">
        <v>0</v>
      </c>
      <c r="AG344" s="14" t="s">
        <v>415</v>
      </c>
    </row>
    <row r="345" spans="1:34" s="14" customFormat="1" x14ac:dyDescent="0.25">
      <c r="A345" s="10" t="s">
        <v>462</v>
      </c>
      <c r="B345" s="10"/>
      <c r="C345" s="10">
        <v>1</v>
      </c>
      <c r="D345" s="11">
        <v>42003</v>
      </c>
      <c r="E345" s="12">
        <v>43293</v>
      </c>
      <c r="F345" s="26" t="str">
        <f t="shared" si="10"/>
        <v>42 : 12</v>
      </c>
      <c r="G345" s="14">
        <f t="shared" si="11"/>
        <v>1290</v>
      </c>
      <c r="H345" s="22">
        <v>4</v>
      </c>
      <c r="I345" s="9" t="s">
        <v>115</v>
      </c>
      <c r="J345" s="9" t="s">
        <v>32</v>
      </c>
      <c r="K345" s="9" t="s">
        <v>33</v>
      </c>
      <c r="L345" s="20">
        <v>0.5</v>
      </c>
      <c r="M345" s="14">
        <v>-0.5</v>
      </c>
      <c r="N345" s="14">
        <v>1</v>
      </c>
      <c r="Q345" s="14">
        <v>1</v>
      </c>
      <c r="R345" s="14">
        <v>1</v>
      </c>
      <c r="Y345" s="14">
        <v>1</v>
      </c>
      <c r="AD345" s="14">
        <v>0</v>
      </c>
      <c r="AE345" s="14">
        <v>0</v>
      </c>
      <c r="AF345" s="14" t="s">
        <v>468</v>
      </c>
      <c r="AG345" s="14" t="s">
        <v>469</v>
      </c>
    </row>
    <row r="346" spans="1:34" s="14" customFormat="1" x14ac:dyDescent="0.25">
      <c r="A346" s="10" t="s">
        <v>462</v>
      </c>
      <c r="B346" s="10"/>
      <c r="C346" s="10">
        <v>1</v>
      </c>
      <c r="D346" s="11">
        <v>42003</v>
      </c>
      <c r="E346" s="12">
        <v>43293</v>
      </c>
      <c r="F346" s="26" t="str">
        <f t="shared" si="10"/>
        <v>42 : 12</v>
      </c>
      <c r="G346" s="14">
        <f t="shared" si="11"/>
        <v>1290</v>
      </c>
      <c r="H346" s="22">
        <v>4</v>
      </c>
      <c r="I346" s="9" t="s">
        <v>117</v>
      </c>
      <c r="J346" s="9" t="s">
        <v>30</v>
      </c>
      <c r="K346" s="9" t="s">
        <v>40</v>
      </c>
      <c r="L346" s="20">
        <v>-0.5</v>
      </c>
      <c r="M346" s="14">
        <v>-0.5</v>
      </c>
      <c r="S346" s="14">
        <v>0</v>
      </c>
      <c r="AD346" s="14">
        <v>0</v>
      </c>
      <c r="AE346" s="14">
        <v>1</v>
      </c>
      <c r="AF346" s="14" t="s">
        <v>470</v>
      </c>
      <c r="AG346" s="14" t="s">
        <v>53</v>
      </c>
    </row>
    <row r="347" spans="1:34" s="14" customFormat="1" x14ac:dyDescent="0.25">
      <c r="A347" s="10" t="s">
        <v>462</v>
      </c>
      <c r="B347" s="10"/>
      <c r="C347" s="10">
        <v>1</v>
      </c>
      <c r="D347" s="11">
        <v>42003</v>
      </c>
      <c r="E347" s="12">
        <v>43293</v>
      </c>
      <c r="F347" s="26" t="str">
        <f t="shared" si="10"/>
        <v>42 : 12</v>
      </c>
      <c r="G347" s="14">
        <f t="shared" si="11"/>
        <v>1290</v>
      </c>
      <c r="H347" s="22">
        <v>4</v>
      </c>
      <c r="I347" s="9" t="s">
        <v>121</v>
      </c>
      <c r="J347" s="9" t="s">
        <v>33</v>
      </c>
      <c r="K347" s="9" t="s">
        <v>33</v>
      </c>
      <c r="L347" s="20">
        <v>-0.5</v>
      </c>
      <c r="M347" s="14">
        <v>0.5</v>
      </c>
      <c r="S347" s="14">
        <v>0</v>
      </c>
      <c r="Y347" s="14">
        <v>1</v>
      </c>
      <c r="AD347" s="14">
        <v>0</v>
      </c>
      <c r="AE347" s="14">
        <v>1</v>
      </c>
      <c r="AF347" s="14" t="s">
        <v>471</v>
      </c>
      <c r="AG347" s="14" t="s">
        <v>214</v>
      </c>
    </row>
    <row r="348" spans="1:34" s="14" customFormat="1" x14ac:dyDescent="0.25">
      <c r="A348" s="10" t="s">
        <v>462</v>
      </c>
      <c r="B348" s="10"/>
      <c r="C348" s="10">
        <v>1</v>
      </c>
      <c r="D348" s="11">
        <v>42003</v>
      </c>
      <c r="E348" s="12">
        <v>43293</v>
      </c>
      <c r="F348" s="26" t="str">
        <f t="shared" si="10"/>
        <v>42 : 12</v>
      </c>
      <c r="G348" s="14">
        <f t="shared" si="11"/>
        <v>1290</v>
      </c>
      <c r="H348" s="22">
        <v>4</v>
      </c>
      <c r="I348" s="9" t="s">
        <v>124</v>
      </c>
      <c r="J348" s="9" t="s">
        <v>40</v>
      </c>
      <c r="K348" s="9" t="s">
        <v>40</v>
      </c>
      <c r="L348" s="20">
        <v>0.5</v>
      </c>
      <c r="M348" s="14">
        <v>0.5</v>
      </c>
      <c r="AD348" s="14">
        <v>0</v>
      </c>
      <c r="AE348" s="14">
        <v>0</v>
      </c>
      <c r="AG348" s="14" t="s">
        <v>260</v>
      </c>
    </row>
    <row r="349" spans="1:34" s="14" customFormat="1" x14ac:dyDescent="0.25">
      <c r="A349" s="10" t="s">
        <v>462</v>
      </c>
      <c r="B349" s="10"/>
      <c r="C349" s="10">
        <v>1</v>
      </c>
      <c r="D349" s="11">
        <v>42003</v>
      </c>
      <c r="E349" s="12">
        <v>43293</v>
      </c>
      <c r="F349" s="26" t="str">
        <f t="shared" si="10"/>
        <v>42 : 12</v>
      </c>
      <c r="G349" s="14">
        <f t="shared" si="11"/>
        <v>1290</v>
      </c>
      <c r="H349" s="22">
        <v>4</v>
      </c>
      <c r="I349" s="9" t="s">
        <v>127</v>
      </c>
      <c r="J349" s="9" t="s">
        <v>39</v>
      </c>
      <c r="K349" s="9" t="s">
        <v>30</v>
      </c>
      <c r="L349" s="20">
        <v>-0.5</v>
      </c>
      <c r="M349" s="14">
        <v>-0.5</v>
      </c>
      <c r="AD349" s="14">
        <v>0</v>
      </c>
      <c r="AE349" s="14">
        <v>1</v>
      </c>
      <c r="AF349" s="14" t="s">
        <v>472</v>
      </c>
      <c r="AG349" s="14" t="s">
        <v>473</v>
      </c>
    </row>
    <row r="350" spans="1:34" x14ac:dyDescent="0.25">
      <c r="A350" s="3" t="s">
        <v>474</v>
      </c>
      <c r="C350" s="3">
        <v>0</v>
      </c>
      <c r="D350" s="4">
        <v>42007</v>
      </c>
      <c r="E350" s="5">
        <v>43305</v>
      </c>
      <c r="F350" s="25" t="str">
        <f t="shared" si="10"/>
        <v>42 : 21</v>
      </c>
      <c r="G350">
        <f t="shared" si="11"/>
        <v>1298</v>
      </c>
      <c r="H350" s="9">
        <v>7</v>
      </c>
      <c r="I350" s="9">
        <v>6</v>
      </c>
      <c r="J350" s="9" t="s">
        <v>39</v>
      </c>
      <c r="K350" s="9" t="s">
        <v>40</v>
      </c>
      <c r="L350" s="20">
        <v>-0.5</v>
      </c>
      <c r="M350" s="14">
        <v>-0.5</v>
      </c>
      <c r="N350" s="14"/>
      <c r="O350" s="14"/>
      <c r="P350" s="14"/>
      <c r="Y350">
        <v>1</v>
      </c>
      <c r="AA350">
        <v>1</v>
      </c>
      <c r="AD350" s="6"/>
      <c r="AE350" s="6"/>
      <c r="AF350" t="s">
        <v>475</v>
      </c>
      <c r="AG350" t="s">
        <v>444</v>
      </c>
    </row>
    <row r="351" spans="1:34" x14ac:dyDescent="0.25">
      <c r="A351" s="3" t="s">
        <v>474</v>
      </c>
      <c r="C351" s="3">
        <v>0</v>
      </c>
      <c r="D351" s="4">
        <v>42007</v>
      </c>
      <c r="E351" s="5">
        <v>43305</v>
      </c>
      <c r="F351" s="25" t="str">
        <f t="shared" si="10"/>
        <v>42 : 21</v>
      </c>
      <c r="G351">
        <f t="shared" si="11"/>
        <v>1298</v>
      </c>
      <c r="H351" s="9">
        <v>7</v>
      </c>
      <c r="I351" s="9">
        <v>5</v>
      </c>
      <c r="J351" s="9" t="s">
        <v>33</v>
      </c>
      <c r="K351" s="9" t="s">
        <v>35</v>
      </c>
      <c r="L351" s="20">
        <v>0.5</v>
      </c>
      <c r="M351" s="14">
        <v>-0.5</v>
      </c>
      <c r="N351" s="14"/>
      <c r="O351" s="14"/>
      <c r="P351" s="14"/>
      <c r="Y351">
        <v>1</v>
      </c>
      <c r="AA351">
        <v>1</v>
      </c>
      <c r="AD351" s="6"/>
      <c r="AE351" s="6"/>
      <c r="AF351" t="s">
        <v>476</v>
      </c>
      <c r="AG351" t="s">
        <v>477</v>
      </c>
    </row>
    <row r="352" spans="1:34" x14ac:dyDescent="0.25">
      <c r="A352" s="3" t="s">
        <v>474</v>
      </c>
      <c r="C352" s="3">
        <v>0</v>
      </c>
      <c r="D352" s="4">
        <v>42007</v>
      </c>
      <c r="E352" s="5">
        <v>43305</v>
      </c>
      <c r="F352" s="25" t="str">
        <f t="shared" si="10"/>
        <v>42 : 21</v>
      </c>
      <c r="G352">
        <f t="shared" si="11"/>
        <v>1298</v>
      </c>
      <c r="H352" s="9">
        <v>7</v>
      </c>
      <c r="I352" s="9">
        <v>4</v>
      </c>
      <c r="J352" s="9" t="s">
        <v>32</v>
      </c>
      <c r="K352" s="9" t="s">
        <v>32</v>
      </c>
      <c r="L352" s="20">
        <v>-0.5</v>
      </c>
      <c r="M352" s="14">
        <v>0.5</v>
      </c>
      <c r="N352" s="14"/>
      <c r="O352" s="14"/>
      <c r="P352" s="14"/>
      <c r="AD352" s="14">
        <v>0</v>
      </c>
      <c r="AE352" s="14">
        <v>1</v>
      </c>
      <c r="AG352" t="s">
        <v>305</v>
      </c>
    </row>
    <row r="353" spans="1:34" x14ac:dyDescent="0.25">
      <c r="A353" s="3" t="s">
        <v>474</v>
      </c>
      <c r="C353" s="3">
        <v>0</v>
      </c>
      <c r="D353" s="4">
        <v>42007</v>
      </c>
      <c r="E353" s="5">
        <v>43305</v>
      </c>
      <c r="F353" s="25" t="str">
        <f t="shared" si="10"/>
        <v>42 : 21</v>
      </c>
      <c r="G353">
        <f t="shared" si="11"/>
        <v>1298</v>
      </c>
      <c r="H353" s="9">
        <v>7</v>
      </c>
      <c r="I353" s="9">
        <v>3</v>
      </c>
      <c r="J353" s="9" t="s">
        <v>35</v>
      </c>
      <c r="K353" s="9" t="s">
        <v>35</v>
      </c>
      <c r="L353" s="20">
        <v>-0.5</v>
      </c>
      <c r="M353" s="14">
        <v>0.5</v>
      </c>
      <c r="N353" s="14"/>
      <c r="O353" s="14"/>
      <c r="P353" s="14"/>
      <c r="AD353" s="14">
        <v>0</v>
      </c>
      <c r="AE353" s="14">
        <v>1</v>
      </c>
      <c r="AF353" t="s">
        <v>478</v>
      </c>
      <c r="AG353" t="s">
        <v>45</v>
      </c>
    </row>
    <row r="354" spans="1:34" x14ac:dyDescent="0.25">
      <c r="A354" s="3" t="s">
        <v>474</v>
      </c>
      <c r="C354" s="3">
        <v>0</v>
      </c>
      <c r="D354" s="4">
        <v>42007</v>
      </c>
      <c r="E354" s="5">
        <v>43305</v>
      </c>
      <c r="F354" s="25" t="str">
        <f t="shared" si="10"/>
        <v>42 : 21</v>
      </c>
      <c r="G354">
        <f t="shared" si="11"/>
        <v>1298</v>
      </c>
      <c r="H354" s="9">
        <v>7</v>
      </c>
      <c r="I354" s="9">
        <v>2</v>
      </c>
      <c r="J354" s="9" t="s">
        <v>32</v>
      </c>
      <c r="K354" s="9" t="s">
        <v>33</v>
      </c>
      <c r="L354" s="20">
        <v>0.5</v>
      </c>
      <c r="M354" s="14">
        <v>-0.5</v>
      </c>
      <c r="N354" s="14"/>
      <c r="O354" s="14"/>
      <c r="P354" s="14"/>
      <c r="R354">
        <v>1</v>
      </c>
      <c r="V354" t="s">
        <v>261</v>
      </c>
      <c r="W354">
        <v>1</v>
      </c>
      <c r="Y354">
        <v>1</v>
      </c>
      <c r="AA354">
        <v>1</v>
      </c>
      <c r="AD354" s="14"/>
      <c r="AE354" s="14"/>
      <c r="AF354" t="s">
        <v>479</v>
      </c>
      <c r="AG354" t="s">
        <v>480</v>
      </c>
    </row>
    <row r="355" spans="1:34" x14ac:dyDescent="0.25">
      <c r="A355" s="3" t="s">
        <v>474</v>
      </c>
      <c r="C355" s="3">
        <v>0</v>
      </c>
      <c r="D355" s="4">
        <v>42007</v>
      </c>
      <c r="E355" s="5">
        <v>43305</v>
      </c>
      <c r="F355" s="25" t="str">
        <f t="shared" si="10"/>
        <v>42 : 21</v>
      </c>
      <c r="G355">
        <f t="shared" si="11"/>
        <v>1298</v>
      </c>
      <c r="H355" s="9">
        <v>7</v>
      </c>
      <c r="I355" s="9">
        <v>1</v>
      </c>
      <c r="J355" s="9" t="s">
        <v>30</v>
      </c>
      <c r="K355" s="9" t="s">
        <v>30</v>
      </c>
      <c r="L355" s="20">
        <v>0.5</v>
      </c>
      <c r="M355" s="14">
        <v>0.5</v>
      </c>
      <c r="N355" s="14"/>
      <c r="O355" s="14"/>
      <c r="P355" s="14"/>
      <c r="AD355" s="14">
        <v>0</v>
      </c>
      <c r="AE355" s="14">
        <v>0</v>
      </c>
      <c r="AG355" t="s">
        <v>53</v>
      </c>
    </row>
    <row r="356" spans="1:34" x14ac:dyDescent="0.25">
      <c r="A356" s="3" t="s">
        <v>474</v>
      </c>
      <c r="C356" s="3">
        <v>0</v>
      </c>
      <c r="D356" s="4">
        <v>42007</v>
      </c>
      <c r="E356" s="5">
        <v>43305</v>
      </c>
      <c r="F356" s="25" t="str">
        <f t="shared" si="10"/>
        <v>42 : 21</v>
      </c>
      <c r="G356">
        <f t="shared" si="11"/>
        <v>1298</v>
      </c>
      <c r="H356" s="9">
        <v>7</v>
      </c>
      <c r="I356" s="9">
        <v>12</v>
      </c>
      <c r="J356" s="9" t="s">
        <v>30</v>
      </c>
      <c r="K356" s="9" t="s">
        <v>39</v>
      </c>
      <c r="L356" s="20">
        <v>-0.5</v>
      </c>
      <c r="M356" s="14">
        <v>-0.5</v>
      </c>
      <c r="N356" s="14"/>
      <c r="O356" s="14"/>
      <c r="P356" s="14"/>
      <c r="AD356" s="14">
        <v>0</v>
      </c>
      <c r="AE356" s="14">
        <v>1</v>
      </c>
      <c r="AG356" t="s">
        <v>93</v>
      </c>
    </row>
    <row r="357" spans="1:34" x14ac:dyDescent="0.25">
      <c r="A357" s="3" t="s">
        <v>474</v>
      </c>
      <c r="C357" s="3">
        <v>0</v>
      </c>
      <c r="D357" s="4">
        <v>42007</v>
      </c>
      <c r="E357" s="5">
        <v>43305</v>
      </c>
      <c r="F357" s="25" t="str">
        <f t="shared" si="10"/>
        <v>42 : 21</v>
      </c>
      <c r="G357">
        <f t="shared" si="11"/>
        <v>1298</v>
      </c>
      <c r="H357" s="9">
        <v>7</v>
      </c>
      <c r="I357" s="9">
        <v>11</v>
      </c>
      <c r="J357" s="9" t="s">
        <v>40</v>
      </c>
      <c r="K357" s="9" t="s">
        <v>40</v>
      </c>
      <c r="L357" s="20">
        <v>0.5</v>
      </c>
      <c r="M357" s="14">
        <v>0.5</v>
      </c>
      <c r="N357" s="14"/>
      <c r="O357" s="14"/>
      <c r="P357" s="14"/>
      <c r="AD357" s="14">
        <v>0</v>
      </c>
      <c r="AE357" s="14">
        <v>0</v>
      </c>
      <c r="AG357" t="s">
        <v>481</v>
      </c>
    </row>
    <row r="358" spans="1:34" x14ac:dyDescent="0.25">
      <c r="A358" s="3" t="s">
        <v>474</v>
      </c>
      <c r="C358" s="3">
        <v>0</v>
      </c>
      <c r="D358" s="4">
        <v>42007</v>
      </c>
      <c r="E358" s="5">
        <v>43305</v>
      </c>
      <c r="F358" s="25" t="str">
        <f t="shared" si="10"/>
        <v>42 : 21</v>
      </c>
      <c r="G358">
        <f t="shared" si="11"/>
        <v>1298</v>
      </c>
      <c r="H358" s="9">
        <v>7</v>
      </c>
      <c r="I358" s="9">
        <v>10</v>
      </c>
      <c r="J358" s="9" t="s">
        <v>33</v>
      </c>
      <c r="K358" s="9" t="s">
        <v>33</v>
      </c>
      <c r="L358" s="20">
        <v>-0.5</v>
      </c>
      <c r="M358" s="14">
        <v>0.5</v>
      </c>
      <c r="N358" s="14"/>
      <c r="O358" s="14"/>
      <c r="P358" s="14"/>
      <c r="AD358" s="14">
        <v>0</v>
      </c>
      <c r="AE358" s="14">
        <v>1</v>
      </c>
      <c r="AG358" t="s">
        <v>45</v>
      </c>
    </row>
    <row r="359" spans="1:34" x14ac:dyDescent="0.25">
      <c r="A359" s="3" t="s">
        <v>474</v>
      </c>
      <c r="C359" s="3">
        <v>0</v>
      </c>
      <c r="D359" s="4">
        <v>42007</v>
      </c>
      <c r="E359" s="5">
        <v>43305</v>
      </c>
      <c r="F359" s="25" t="str">
        <f t="shared" si="10"/>
        <v>42 : 21</v>
      </c>
      <c r="G359">
        <f t="shared" si="11"/>
        <v>1298</v>
      </c>
      <c r="H359" s="9">
        <v>7</v>
      </c>
      <c r="I359" s="9">
        <v>9</v>
      </c>
      <c r="J359" s="9" t="s">
        <v>40</v>
      </c>
      <c r="K359" s="9" t="s">
        <v>30</v>
      </c>
      <c r="L359" s="20">
        <v>-0.5</v>
      </c>
      <c r="M359" s="14">
        <v>-0.5</v>
      </c>
      <c r="N359" s="14"/>
      <c r="O359" s="14"/>
      <c r="P359" s="14"/>
      <c r="AD359" s="14">
        <v>0</v>
      </c>
      <c r="AE359" s="14">
        <v>1</v>
      </c>
      <c r="AG359" t="s">
        <v>52</v>
      </c>
    </row>
    <row r="360" spans="1:34" x14ac:dyDescent="0.25">
      <c r="A360" s="3" t="s">
        <v>474</v>
      </c>
      <c r="C360" s="3">
        <v>0</v>
      </c>
      <c r="D360" s="4">
        <v>42007</v>
      </c>
      <c r="E360" s="5">
        <v>43305</v>
      </c>
      <c r="F360" s="25" t="str">
        <f t="shared" si="10"/>
        <v>42 : 21</v>
      </c>
      <c r="G360">
        <f t="shared" si="11"/>
        <v>1298</v>
      </c>
      <c r="H360" s="9">
        <v>7</v>
      </c>
      <c r="I360" s="9">
        <v>8</v>
      </c>
      <c r="J360" s="9" t="s">
        <v>35</v>
      </c>
      <c r="K360" s="9" t="s">
        <v>32</v>
      </c>
      <c r="L360" s="20">
        <v>0.5</v>
      </c>
      <c r="M360" s="14">
        <v>-0.5</v>
      </c>
      <c r="N360" s="14"/>
      <c r="O360" s="14"/>
      <c r="P360" s="14"/>
      <c r="AD360" s="14">
        <v>0</v>
      </c>
      <c r="AE360" s="14">
        <v>0</v>
      </c>
      <c r="AG360" t="s">
        <v>51</v>
      </c>
    </row>
    <row r="361" spans="1:34" x14ac:dyDescent="0.25">
      <c r="A361" s="3" t="s">
        <v>474</v>
      </c>
      <c r="C361" s="3">
        <v>0</v>
      </c>
      <c r="D361" s="4">
        <v>42007</v>
      </c>
      <c r="E361" s="5">
        <v>43305</v>
      </c>
      <c r="F361" s="25" t="str">
        <f t="shared" si="10"/>
        <v>42 : 21</v>
      </c>
      <c r="G361">
        <f t="shared" si="11"/>
        <v>1298</v>
      </c>
      <c r="H361" s="9">
        <v>7</v>
      </c>
      <c r="I361" s="9">
        <v>7</v>
      </c>
      <c r="J361" s="9" t="s">
        <v>39</v>
      </c>
      <c r="K361" s="9" t="s">
        <v>39</v>
      </c>
      <c r="L361" s="20">
        <v>0.5</v>
      </c>
      <c r="M361" s="14">
        <v>0.5</v>
      </c>
      <c r="N361" s="14"/>
      <c r="O361" s="14"/>
      <c r="P361" s="14"/>
      <c r="R361">
        <v>1</v>
      </c>
      <c r="Y361">
        <v>1</v>
      </c>
      <c r="AD361" s="14">
        <v>0</v>
      </c>
      <c r="AE361" s="14">
        <v>0</v>
      </c>
      <c r="AF361" t="s">
        <v>482</v>
      </c>
      <c r="AG361" t="s">
        <v>473</v>
      </c>
    </row>
    <row r="362" spans="1:34" s="14" customFormat="1" x14ac:dyDescent="0.25">
      <c r="A362" s="10" t="s">
        <v>483</v>
      </c>
      <c r="B362" s="10"/>
      <c r="C362" s="10">
        <v>0</v>
      </c>
      <c r="D362" s="11">
        <v>42006</v>
      </c>
      <c r="E362" s="12">
        <v>43305</v>
      </c>
      <c r="F362" s="26" t="str">
        <f t="shared" ref="F362:F425" si="12">DATEDIF(D362,E362,"M")&amp;" : "&amp;DATEDIF(D362,E362,"MD")</f>
        <v>42 : 22</v>
      </c>
      <c r="G362" s="14">
        <f t="shared" ref="G362:G425" si="13">DATEDIF(D362,E362,"D")</f>
        <v>1299</v>
      </c>
      <c r="H362" s="9">
        <v>6</v>
      </c>
      <c r="I362" s="9" t="s">
        <v>143</v>
      </c>
      <c r="J362" s="9" t="s">
        <v>40</v>
      </c>
      <c r="K362" s="9" t="s">
        <v>39</v>
      </c>
      <c r="L362" s="20">
        <v>0.5</v>
      </c>
      <c r="M362" s="14">
        <v>-0.5</v>
      </c>
      <c r="R362" s="14">
        <v>1</v>
      </c>
      <c r="Y362" s="14">
        <v>1</v>
      </c>
      <c r="Z362" s="14">
        <v>1</v>
      </c>
      <c r="AA362" s="14">
        <v>1</v>
      </c>
      <c r="AF362" s="14" t="s">
        <v>484</v>
      </c>
      <c r="AG362" s="14" t="s">
        <v>339</v>
      </c>
    </row>
    <row r="363" spans="1:34" s="14" customFormat="1" x14ac:dyDescent="0.25">
      <c r="A363" s="10" t="s">
        <v>483</v>
      </c>
      <c r="B363" s="10"/>
      <c r="C363" s="10">
        <v>0</v>
      </c>
      <c r="D363" s="11">
        <v>42006</v>
      </c>
      <c r="E363" s="12">
        <v>43305</v>
      </c>
      <c r="F363" s="26" t="str">
        <f t="shared" si="12"/>
        <v>42 : 22</v>
      </c>
      <c r="G363" s="14">
        <f t="shared" si="13"/>
        <v>1299</v>
      </c>
      <c r="H363" s="9">
        <v>6</v>
      </c>
      <c r="I363" s="9" t="s">
        <v>145</v>
      </c>
      <c r="J363" s="9" t="s">
        <v>35</v>
      </c>
      <c r="K363" s="9" t="s">
        <v>33</v>
      </c>
      <c r="L363" s="20">
        <v>-0.5</v>
      </c>
      <c r="M363" s="14">
        <v>-0.5</v>
      </c>
      <c r="Y363" s="14">
        <v>1</v>
      </c>
      <c r="Z363" s="14">
        <v>1</v>
      </c>
      <c r="AA363" s="14">
        <v>1</v>
      </c>
      <c r="AF363" s="14" t="s">
        <v>485</v>
      </c>
      <c r="AG363" s="14" t="s">
        <v>486</v>
      </c>
    </row>
    <row r="364" spans="1:34" s="14" customFormat="1" x14ac:dyDescent="0.25">
      <c r="A364" s="10" t="s">
        <v>483</v>
      </c>
      <c r="B364" s="10"/>
      <c r="C364" s="10">
        <v>0</v>
      </c>
      <c r="D364" s="11">
        <v>42006</v>
      </c>
      <c r="E364" s="12">
        <v>43305</v>
      </c>
      <c r="F364" s="26" t="str">
        <f t="shared" si="12"/>
        <v>42 : 22</v>
      </c>
      <c r="G364" s="14">
        <f t="shared" si="13"/>
        <v>1299</v>
      </c>
      <c r="H364" s="9">
        <v>6</v>
      </c>
      <c r="I364" s="9" t="s">
        <v>146</v>
      </c>
      <c r="J364" s="9" t="s">
        <v>32</v>
      </c>
      <c r="K364" s="9" t="s">
        <v>487</v>
      </c>
      <c r="L364" s="20">
        <v>0.5</v>
      </c>
      <c r="M364" s="14">
        <v>0.5</v>
      </c>
      <c r="N364" s="14">
        <v>1</v>
      </c>
      <c r="U364" s="14">
        <v>1</v>
      </c>
      <c r="Y364" s="14">
        <v>1</v>
      </c>
      <c r="AF364" s="14" t="s">
        <v>488</v>
      </c>
      <c r="AG364" s="14" t="s">
        <v>489</v>
      </c>
      <c r="AH364" s="14" t="s">
        <v>490</v>
      </c>
    </row>
    <row r="365" spans="1:34" s="14" customFormat="1" x14ac:dyDescent="0.25">
      <c r="A365" s="10" t="s">
        <v>483</v>
      </c>
      <c r="B365" s="10"/>
      <c r="C365" s="10">
        <v>0</v>
      </c>
      <c r="D365" s="11">
        <v>42006</v>
      </c>
      <c r="E365" s="12">
        <v>43305</v>
      </c>
      <c r="F365" s="26" t="str">
        <f t="shared" si="12"/>
        <v>42 : 22</v>
      </c>
      <c r="G365" s="14">
        <f t="shared" si="13"/>
        <v>1299</v>
      </c>
      <c r="H365" s="9">
        <v>6</v>
      </c>
      <c r="I365" s="9" t="s">
        <v>147</v>
      </c>
      <c r="J365" s="9" t="s">
        <v>35</v>
      </c>
      <c r="K365" s="9" t="s">
        <v>35</v>
      </c>
      <c r="L365" s="20">
        <v>0.5</v>
      </c>
      <c r="M365" s="14">
        <v>0.5</v>
      </c>
      <c r="Y365" s="14">
        <v>1</v>
      </c>
      <c r="Z365" s="14">
        <v>1</v>
      </c>
      <c r="AA365" s="14">
        <v>1</v>
      </c>
      <c r="AF365" s="14" t="s">
        <v>491</v>
      </c>
      <c r="AG365" s="14" t="s">
        <v>492</v>
      </c>
    </row>
    <row r="366" spans="1:34" s="14" customFormat="1" x14ac:dyDescent="0.25">
      <c r="A366" s="10" t="s">
        <v>483</v>
      </c>
      <c r="B366" s="10"/>
      <c r="C366" s="10">
        <v>0</v>
      </c>
      <c r="D366" s="11">
        <v>42006</v>
      </c>
      <c r="E366" s="12">
        <v>43305</v>
      </c>
      <c r="F366" s="26" t="str">
        <f t="shared" si="12"/>
        <v>42 : 22</v>
      </c>
      <c r="G366" s="14">
        <f t="shared" si="13"/>
        <v>1299</v>
      </c>
      <c r="H366" s="9">
        <v>6</v>
      </c>
      <c r="I366" s="9" t="s">
        <v>148</v>
      </c>
      <c r="J366" s="9" t="s">
        <v>33</v>
      </c>
      <c r="K366" s="9" t="s">
        <v>32</v>
      </c>
      <c r="L366" s="20">
        <v>-0.5</v>
      </c>
      <c r="M366" s="14">
        <v>-0.5</v>
      </c>
      <c r="R366" s="14">
        <v>1</v>
      </c>
      <c r="U366" s="14">
        <v>1</v>
      </c>
      <c r="Y366" s="14">
        <v>1</v>
      </c>
      <c r="AD366" s="14">
        <v>0</v>
      </c>
      <c r="AE366" s="14">
        <v>1</v>
      </c>
      <c r="AF366" s="14" t="s">
        <v>493</v>
      </c>
      <c r="AG366" s="14" t="s">
        <v>494</v>
      </c>
    </row>
    <row r="367" spans="1:34" s="14" customFormat="1" x14ac:dyDescent="0.25">
      <c r="A367" s="10" t="s">
        <v>483</v>
      </c>
      <c r="B367" s="10"/>
      <c r="C367" s="10">
        <v>0</v>
      </c>
      <c r="D367" s="11">
        <v>42006</v>
      </c>
      <c r="E367" s="12">
        <v>43305</v>
      </c>
      <c r="F367" s="26" t="str">
        <f t="shared" si="12"/>
        <v>42 : 22</v>
      </c>
      <c r="G367" s="14">
        <f t="shared" si="13"/>
        <v>1299</v>
      </c>
      <c r="H367" s="9">
        <v>6</v>
      </c>
      <c r="I367" s="9" t="s">
        <v>152</v>
      </c>
      <c r="J367" s="9" t="s">
        <v>30</v>
      </c>
      <c r="K367" s="9" t="s">
        <v>30</v>
      </c>
      <c r="L367" s="20">
        <v>-0.5</v>
      </c>
      <c r="M367" s="14">
        <v>0.5</v>
      </c>
      <c r="R367" s="14">
        <v>1</v>
      </c>
      <c r="Y367" s="14">
        <v>1</v>
      </c>
      <c r="AA367" s="14">
        <v>1</v>
      </c>
      <c r="AB367" s="14">
        <v>1</v>
      </c>
      <c r="AF367" s="14" t="s">
        <v>495</v>
      </c>
      <c r="AG367" s="14" t="s">
        <v>175</v>
      </c>
    </row>
    <row r="368" spans="1:34" s="14" customFormat="1" x14ac:dyDescent="0.25">
      <c r="A368" s="10" t="s">
        <v>483</v>
      </c>
      <c r="B368" s="10"/>
      <c r="C368" s="10">
        <v>0</v>
      </c>
      <c r="D368" s="11">
        <v>42006</v>
      </c>
      <c r="E368" s="12">
        <v>43305</v>
      </c>
      <c r="F368" s="26" t="str">
        <f t="shared" si="12"/>
        <v>42 : 22</v>
      </c>
      <c r="G368" s="14">
        <f t="shared" si="13"/>
        <v>1299</v>
      </c>
      <c r="H368" s="9">
        <v>6</v>
      </c>
      <c r="I368" s="9" t="s">
        <v>153</v>
      </c>
      <c r="J368" s="9" t="s">
        <v>39</v>
      </c>
      <c r="K368" s="9" t="s">
        <v>39</v>
      </c>
      <c r="L368" s="20">
        <v>0.5</v>
      </c>
      <c r="M368" s="9">
        <v>0.5</v>
      </c>
      <c r="O368" s="14">
        <v>1</v>
      </c>
      <c r="R368" s="14">
        <v>1</v>
      </c>
      <c r="Y368" s="14">
        <v>1</v>
      </c>
      <c r="AA368" s="14">
        <v>1</v>
      </c>
      <c r="AB368" s="14">
        <v>1</v>
      </c>
      <c r="AF368" s="14" t="s">
        <v>496</v>
      </c>
      <c r="AG368" s="14" t="s">
        <v>175</v>
      </c>
    </row>
    <row r="369" spans="1:34" s="14" customFormat="1" x14ac:dyDescent="0.25">
      <c r="A369" s="10" t="s">
        <v>483</v>
      </c>
      <c r="B369" s="10"/>
      <c r="C369" s="10">
        <v>0</v>
      </c>
      <c r="D369" s="11">
        <v>42006</v>
      </c>
      <c r="E369" s="12">
        <v>43305</v>
      </c>
      <c r="F369" s="26" t="str">
        <f t="shared" si="12"/>
        <v>42 : 22</v>
      </c>
      <c r="G369" s="14">
        <f t="shared" si="13"/>
        <v>1299</v>
      </c>
      <c r="H369" s="9">
        <v>6</v>
      </c>
      <c r="I369" s="9" t="s">
        <v>154</v>
      </c>
      <c r="J369" s="9" t="s">
        <v>40</v>
      </c>
      <c r="K369" s="9" t="s">
        <v>40</v>
      </c>
      <c r="L369" s="20">
        <v>-0.5</v>
      </c>
      <c r="M369" s="14">
        <v>0.5</v>
      </c>
      <c r="R369" s="14">
        <v>1</v>
      </c>
      <c r="U369" s="14">
        <v>1</v>
      </c>
      <c r="Y369" s="14">
        <v>1</v>
      </c>
      <c r="AD369" s="13">
        <v>0</v>
      </c>
      <c r="AE369" s="13">
        <v>1</v>
      </c>
      <c r="AF369" s="14" t="s">
        <v>497</v>
      </c>
      <c r="AG369" s="14" t="s">
        <v>498</v>
      </c>
      <c r="AH369" s="14" t="s">
        <v>280</v>
      </c>
    </row>
    <row r="370" spans="1:34" s="14" customFormat="1" x14ac:dyDescent="0.25">
      <c r="A370" s="10" t="s">
        <v>483</v>
      </c>
      <c r="B370" s="10"/>
      <c r="C370" s="10">
        <v>0</v>
      </c>
      <c r="D370" s="11">
        <v>42006</v>
      </c>
      <c r="E370" s="12">
        <v>43305</v>
      </c>
      <c r="F370" s="26" t="str">
        <f t="shared" si="12"/>
        <v>42 : 22</v>
      </c>
      <c r="G370" s="14">
        <f t="shared" si="13"/>
        <v>1299</v>
      </c>
      <c r="H370" s="9">
        <v>6</v>
      </c>
      <c r="I370" s="9" t="s">
        <v>155</v>
      </c>
      <c r="J370" s="9" t="s">
        <v>33</v>
      </c>
      <c r="K370" s="9" t="s">
        <v>33</v>
      </c>
      <c r="L370" s="20">
        <v>0.5</v>
      </c>
      <c r="M370" s="14">
        <v>0.5</v>
      </c>
      <c r="Z370" s="14">
        <v>1</v>
      </c>
      <c r="AA370" s="14">
        <v>1</v>
      </c>
      <c r="AF370" s="14" t="s">
        <v>499</v>
      </c>
      <c r="AG370" s="14" t="s">
        <v>339</v>
      </c>
    </row>
    <row r="371" spans="1:34" s="14" customFormat="1" x14ac:dyDescent="0.25">
      <c r="A371" s="10" t="s">
        <v>483</v>
      </c>
      <c r="B371" s="10"/>
      <c r="C371" s="10">
        <v>0</v>
      </c>
      <c r="D371" s="11">
        <v>42006</v>
      </c>
      <c r="E371" s="12">
        <v>43305</v>
      </c>
      <c r="F371" s="26" t="str">
        <f t="shared" si="12"/>
        <v>42 : 22</v>
      </c>
      <c r="G371" s="14">
        <f t="shared" si="13"/>
        <v>1299</v>
      </c>
      <c r="H371" s="9">
        <v>6</v>
      </c>
      <c r="I371" s="9" t="s">
        <v>156</v>
      </c>
      <c r="J371" s="9" t="s">
        <v>30</v>
      </c>
      <c r="K371" s="9" t="s">
        <v>40</v>
      </c>
      <c r="L371" s="20">
        <v>0.5</v>
      </c>
      <c r="M371" s="14">
        <v>-0.5</v>
      </c>
      <c r="Y371" s="14">
        <v>1</v>
      </c>
      <c r="AA371" s="14">
        <v>1</v>
      </c>
      <c r="AB371" s="14">
        <v>1</v>
      </c>
      <c r="AD371" s="13"/>
      <c r="AE371" s="13"/>
      <c r="AF371" s="14" t="s">
        <v>500</v>
      </c>
      <c r="AG371" s="14" t="s">
        <v>175</v>
      </c>
    </row>
    <row r="372" spans="1:34" s="14" customFormat="1" x14ac:dyDescent="0.25">
      <c r="A372" s="10" t="s">
        <v>483</v>
      </c>
      <c r="B372" s="10"/>
      <c r="C372" s="10">
        <v>0</v>
      </c>
      <c r="D372" s="11">
        <v>42006</v>
      </c>
      <c r="E372" s="12">
        <v>43305</v>
      </c>
      <c r="F372" s="26" t="str">
        <f t="shared" si="12"/>
        <v>42 : 22</v>
      </c>
      <c r="G372" s="14">
        <f t="shared" si="13"/>
        <v>1299</v>
      </c>
      <c r="H372" s="9">
        <v>6</v>
      </c>
      <c r="I372" s="9" t="s">
        <v>157</v>
      </c>
      <c r="J372" s="9" t="s">
        <v>32</v>
      </c>
      <c r="K372" s="9" t="s">
        <v>35</v>
      </c>
      <c r="L372" s="20">
        <v>-0.5</v>
      </c>
      <c r="M372" s="14">
        <v>-0.5</v>
      </c>
      <c r="R372" s="14">
        <v>1</v>
      </c>
      <c r="U372" s="14">
        <v>1</v>
      </c>
      <c r="Y372" s="14">
        <v>1</v>
      </c>
      <c r="AD372" s="14">
        <v>0</v>
      </c>
      <c r="AE372" s="14">
        <v>1</v>
      </c>
      <c r="AF372" s="14" t="s">
        <v>501</v>
      </c>
      <c r="AG372" s="14" t="s">
        <v>502</v>
      </c>
    </row>
    <row r="373" spans="1:34" s="14" customFormat="1" x14ac:dyDescent="0.25">
      <c r="A373" s="10" t="s">
        <v>483</v>
      </c>
      <c r="B373" s="10"/>
      <c r="C373" s="10">
        <v>0</v>
      </c>
      <c r="D373" s="11">
        <v>42006</v>
      </c>
      <c r="E373" s="12">
        <v>43305</v>
      </c>
      <c r="F373" s="26" t="str">
        <f t="shared" si="12"/>
        <v>42 : 22</v>
      </c>
      <c r="G373" s="14">
        <f t="shared" si="13"/>
        <v>1299</v>
      </c>
      <c r="H373" s="9">
        <v>6</v>
      </c>
      <c r="I373" s="9" t="s">
        <v>158</v>
      </c>
      <c r="J373" s="9" t="s">
        <v>39</v>
      </c>
      <c r="K373" s="9" t="s">
        <v>39</v>
      </c>
      <c r="L373" s="20">
        <v>-0.5</v>
      </c>
      <c r="M373" s="14">
        <v>0.5</v>
      </c>
      <c r="Y373" s="14">
        <v>1</v>
      </c>
      <c r="AA373" s="14">
        <v>1</v>
      </c>
      <c r="AB373" s="14">
        <v>1</v>
      </c>
      <c r="AD373" s="13"/>
      <c r="AE373" s="13"/>
      <c r="AF373" s="14" t="s">
        <v>503</v>
      </c>
      <c r="AG373" s="14" t="s">
        <v>175</v>
      </c>
    </row>
    <row r="374" spans="1:34" s="14" customFormat="1" x14ac:dyDescent="0.25">
      <c r="A374" s="10" t="s">
        <v>504</v>
      </c>
      <c r="B374" s="10"/>
      <c r="C374" s="10">
        <v>0</v>
      </c>
      <c r="D374" s="11">
        <v>42014</v>
      </c>
      <c r="E374" s="12">
        <v>43312</v>
      </c>
      <c r="F374" s="26" t="str">
        <f t="shared" si="12"/>
        <v>42 : 21</v>
      </c>
      <c r="G374" s="14">
        <f t="shared" si="13"/>
        <v>1298</v>
      </c>
      <c r="H374" s="9">
        <v>8</v>
      </c>
      <c r="I374" s="9" t="s">
        <v>143</v>
      </c>
      <c r="J374" s="9" t="s">
        <v>40</v>
      </c>
      <c r="K374" s="9" t="s">
        <v>39</v>
      </c>
      <c r="L374" s="20">
        <v>-0.5</v>
      </c>
      <c r="M374" s="14">
        <v>-0.5</v>
      </c>
      <c r="AD374" s="14">
        <v>1</v>
      </c>
      <c r="AE374" s="14">
        <v>0</v>
      </c>
      <c r="AG374" s="14" t="s">
        <v>505</v>
      </c>
    </row>
    <row r="375" spans="1:34" s="14" customFormat="1" x14ac:dyDescent="0.25">
      <c r="A375" s="10" t="s">
        <v>504</v>
      </c>
      <c r="B375" s="10"/>
      <c r="C375" s="10">
        <v>0</v>
      </c>
      <c r="D375" s="11">
        <v>42014</v>
      </c>
      <c r="E375" s="12">
        <v>43312</v>
      </c>
      <c r="F375" s="26" t="str">
        <f t="shared" si="12"/>
        <v>42 : 21</v>
      </c>
      <c r="G375" s="14">
        <f t="shared" si="13"/>
        <v>1298</v>
      </c>
      <c r="H375" s="9">
        <v>8</v>
      </c>
      <c r="I375" s="9" t="s">
        <v>145</v>
      </c>
      <c r="J375" s="9" t="s">
        <v>35</v>
      </c>
      <c r="K375" s="9" t="s">
        <v>33</v>
      </c>
      <c r="L375" s="20">
        <v>0.5</v>
      </c>
      <c r="M375" s="14">
        <v>-0.5</v>
      </c>
      <c r="AA375" s="14">
        <v>1</v>
      </c>
      <c r="AC375" s="14">
        <v>1</v>
      </c>
      <c r="AG375" s="14" t="s">
        <v>506</v>
      </c>
    </row>
    <row r="376" spans="1:34" s="14" customFormat="1" x14ac:dyDescent="0.25">
      <c r="A376" s="10" t="s">
        <v>504</v>
      </c>
      <c r="B376" s="10"/>
      <c r="C376" s="10">
        <v>0</v>
      </c>
      <c r="D376" s="11">
        <v>42014</v>
      </c>
      <c r="E376" s="12">
        <v>43312</v>
      </c>
      <c r="F376" s="26" t="str">
        <f t="shared" si="12"/>
        <v>42 : 21</v>
      </c>
      <c r="G376" s="14">
        <f t="shared" si="13"/>
        <v>1298</v>
      </c>
      <c r="H376" s="9">
        <v>8</v>
      </c>
      <c r="I376" s="9" t="s">
        <v>146</v>
      </c>
      <c r="J376" s="9" t="s">
        <v>32</v>
      </c>
      <c r="K376" s="9" t="s">
        <v>32</v>
      </c>
      <c r="L376" s="20">
        <v>-0.5</v>
      </c>
      <c r="M376" s="14">
        <v>0.5</v>
      </c>
      <c r="AD376" s="14">
        <v>1</v>
      </c>
      <c r="AE376" s="14">
        <v>0</v>
      </c>
      <c r="AG376" s="14" t="s">
        <v>507</v>
      </c>
    </row>
    <row r="377" spans="1:34" s="14" customFormat="1" x14ac:dyDescent="0.25">
      <c r="A377" s="10" t="s">
        <v>504</v>
      </c>
      <c r="B377" s="10"/>
      <c r="C377" s="10">
        <v>0</v>
      </c>
      <c r="D377" s="11">
        <v>42014</v>
      </c>
      <c r="E377" s="12">
        <v>43312</v>
      </c>
      <c r="F377" s="26" t="str">
        <f t="shared" si="12"/>
        <v>42 : 21</v>
      </c>
      <c r="G377" s="14">
        <f t="shared" si="13"/>
        <v>1298</v>
      </c>
      <c r="H377" s="9">
        <v>8</v>
      </c>
      <c r="I377" s="9" t="s">
        <v>147</v>
      </c>
      <c r="J377" s="9" t="s">
        <v>35</v>
      </c>
      <c r="K377" s="9" t="s">
        <v>35</v>
      </c>
      <c r="L377" s="20">
        <v>-0.5</v>
      </c>
      <c r="M377" s="14">
        <v>0.5</v>
      </c>
      <c r="AD377" s="14">
        <v>0</v>
      </c>
      <c r="AE377" s="14">
        <v>1</v>
      </c>
      <c r="AG377" s="14" t="s">
        <v>508</v>
      </c>
    </row>
    <row r="378" spans="1:34" s="14" customFormat="1" x14ac:dyDescent="0.25">
      <c r="A378" s="10" t="s">
        <v>504</v>
      </c>
      <c r="B378" s="10"/>
      <c r="C378" s="10">
        <v>0</v>
      </c>
      <c r="D378" s="11">
        <v>42014</v>
      </c>
      <c r="E378" s="12">
        <v>43312</v>
      </c>
      <c r="F378" s="26" t="str">
        <f t="shared" si="12"/>
        <v>42 : 21</v>
      </c>
      <c r="G378" s="14">
        <f t="shared" si="13"/>
        <v>1298</v>
      </c>
      <c r="H378" s="9">
        <v>8</v>
      </c>
      <c r="I378" s="9" t="s">
        <v>148</v>
      </c>
      <c r="J378" s="9" t="s">
        <v>33</v>
      </c>
      <c r="K378" s="9" t="s">
        <v>32</v>
      </c>
      <c r="L378" s="20">
        <v>0.5</v>
      </c>
      <c r="M378" s="14">
        <v>-0.5</v>
      </c>
      <c r="AD378" s="14">
        <v>1</v>
      </c>
      <c r="AE378" s="14">
        <v>1</v>
      </c>
      <c r="AG378" s="14" t="s">
        <v>509</v>
      </c>
    </row>
    <row r="379" spans="1:34" s="14" customFormat="1" x14ac:dyDescent="0.25">
      <c r="A379" s="10" t="s">
        <v>504</v>
      </c>
      <c r="B379" s="10"/>
      <c r="C379" s="10">
        <v>0</v>
      </c>
      <c r="D379" s="11">
        <v>42014</v>
      </c>
      <c r="E379" s="12">
        <v>43312</v>
      </c>
      <c r="F379" s="26" t="str">
        <f t="shared" si="12"/>
        <v>42 : 21</v>
      </c>
      <c r="G379" s="14">
        <f t="shared" si="13"/>
        <v>1298</v>
      </c>
      <c r="H379" s="9">
        <v>8</v>
      </c>
      <c r="I379" s="9" t="s">
        <v>152</v>
      </c>
      <c r="J379" s="9" t="s">
        <v>30</v>
      </c>
      <c r="K379" s="9" t="s">
        <v>30</v>
      </c>
      <c r="L379" s="20">
        <v>0.5</v>
      </c>
      <c r="M379" s="14">
        <v>0.5</v>
      </c>
      <c r="AD379" s="14">
        <v>1</v>
      </c>
      <c r="AE379" s="14">
        <v>1</v>
      </c>
      <c r="AG379" s="14" t="s">
        <v>509</v>
      </c>
    </row>
    <row r="380" spans="1:34" s="14" customFormat="1" x14ac:dyDescent="0.25">
      <c r="A380" s="10" t="s">
        <v>504</v>
      </c>
      <c r="B380" s="10"/>
      <c r="C380" s="10">
        <v>0</v>
      </c>
      <c r="D380" s="11">
        <v>42014</v>
      </c>
      <c r="E380" s="12">
        <v>43312</v>
      </c>
      <c r="F380" s="26" t="str">
        <f t="shared" si="12"/>
        <v>42 : 21</v>
      </c>
      <c r="G380" s="14">
        <f t="shared" si="13"/>
        <v>1298</v>
      </c>
      <c r="H380" s="9">
        <v>8</v>
      </c>
      <c r="I380" s="9" t="s">
        <v>153</v>
      </c>
      <c r="J380" s="9" t="s">
        <v>39</v>
      </c>
      <c r="K380" s="9" t="s">
        <v>39</v>
      </c>
      <c r="L380" s="20">
        <v>-0.5</v>
      </c>
      <c r="M380" s="9">
        <v>0.5</v>
      </c>
      <c r="O380" s="14">
        <v>1</v>
      </c>
      <c r="S380" s="14">
        <v>0</v>
      </c>
      <c r="AD380" s="14">
        <v>1</v>
      </c>
      <c r="AE380" s="14">
        <v>0</v>
      </c>
      <c r="AF380" s="14" t="s">
        <v>510</v>
      </c>
      <c r="AG380" s="14" t="s">
        <v>511</v>
      </c>
    </row>
    <row r="381" spans="1:34" s="14" customFormat="1" x14ac:dyDescent="0.25">
      <c r="A381" s="10" t="s">
        <v>504</v>
      </c>
      <c r="B381" s="10"/>
      <c r="C381" s="10">
        <v>0</v>
      </c>
      <c r="D381" s="11">
        <v>42014</v>
      </c>
      <c r="E381" s="12">
        <v>43312</v>
      </c>
      <c r="F381" s="26" t="str">
        <f t="shared" si="12"/>
        <v>42 : 21</v>
      </c>
      <c r="G381" s="14">
        <f t="shared" si="13"/>
        <v>1298</v>
      </c>
      <c r="H381" s="9">
        <v>8</v>
      </c>
      <c r="I381" s="9" t="s">
        <v>154</v>
      </c>
      <c r="J381" s="9" t="s">
        <v>40</v>
      </c>
      <c r="K381" s="9" t="s">
        <v>39</v>
      </c>
      <c r="L381" s="20">
        <v>0.5</v>
      </c>
      <c r="M381" s="14">
        <v>-0.5</v>
      </c>
      <c r="N381" s="14">
        <v>1</v>
      </c>
      <c r="R381" s="14">
        <v>1</v>
      </c>
      <c r="Y381" s="14">
        <v>1</v>
      </c>
      <c r="AF381" s="14" t="s">
        <v>512</v>
      </c>
      <c r="AG381" s="14" t="s">
        <v>513</v>
      </c>
    </row>
    <row r="382" spans="1:34" s="14" customFormat="1" x14ac:dyDescent="0.25">
      <c r="A382" s="10" t="s">
        <v>504</v>
      </c>
      <c r="B382" s="10"/>
      <c r="C382" s="10">
        <v>0</v>
      </c>
      <c r="D382" s="11">
        <v>42014</v>
      </c>
      <c r="E382" s="12">
        <v>43312</v>
      </c>
      <c r="F382" s="26" t="str">
        <f t="shared" si="12"/>
        <v>42 : 21</v>
      </c>
      <c r="G382" s="14">
        <f t="shared" si="13"/>
        <v>1298</v>
      </c>
      <c r="H382" s="9">
        <v>8</v>
      </c>
      <c r="I382" s="9" t="s">
        <v>155</v>
      </c>
      <c r="J382" s="9" t="s">
        <v>33</v>
      </c>
      <c r="K382" s="9" t="s">
        <v>33</v>
      </c>
      <c r="L382" s="20">
        <v>-0.5</v>
      </c>
      <c r="M382" s="14">
        <v>0.5</v>
      </c>
      <c r="S382" s="14">
        <v>0</v>
      </c>
      <c r="AD382" s="14">
        <v>0</v>
      </c>
      <c r="AE382" s="14">
        <v>1</v>
      </c>
      <c r="AF382" s="14" t="s">
        <v>514</v>
      </c>
      <c r="AG382" s="14" t="s">
        <v>515</v>
      </c>
    </row>
    <row r="383" spans="1:34" s="14" customFormat="1" x14ac:dyDescent="0.25">
      <c r="A383" s="10" t="s">
        <v>504</v>
      </c>
      <c r="B383" s="10"/>
      <c r="C383" s="10">
        <v>0</v>
      </c>
      <c r="D383" s="11">
        <v>42014</v>
      </c>
      <c r="E383" s="12">
        <v>43312</v>
      </c>
      <c r="F383" s="26" t="str">
        <f t="shared" si="12"/>
        <v>42 : 21</v>
      </c>
      <c r="G383" s="14">
        <f t="shared" si="13"/>
        <v>1298</v>
      </c>
      <c r="H383" s="9">
        <v>8</v>
      </c>
      <c r="I383" s="9" t="s">
        <v>156</v>
      </c>
      <c r="J383" s="9" t="s">
        <v>30</v>
      </c>
      <c r="K383" s="9" t="s">
        <v>40</v>
      </c>
      <c r="L383" s="20">
        <v>-0.5</v>
      </c>
      <c r="M383" s="14">
        <v>-0.5</v>
      </c>
      <c r="Q383" s="14">
        <v>1</v>
      </c>
      <c r="AD383" s="14">
        <v>0</v>
      </c>
      <c r="AE383" s="14">
        <v>1</v>
      </c>
      <c r="AF383" s="14" t="s">
        <v>516</v>
      </c>
      <c r="AG383" s="14" t="s">
        <v>517</v>
      </c>
    </row>
    <row r="384" spans="1:34" s="14" customFormat="1" x14ac:dyDescent="0.25">
      <c r="A384" s="10" t="s">
        <v>504</v>
      </c>
      <c r="B384" s="10"/>
      <c r="C384" s="10">
        <v>0</v>
      </c>
      <c r="D384" s="11">
        <v>42014</v>
      </c>
      <c r="E384" s="12">
        <v>43312</v>
      </c>
      <c r="F384" s="26" t="str">
        <f t="shared" si="12"/>
        <v>42 : 21</v>
      </c>
      <c r="G384" s="14">
        <f t="shared" si="13"/>
        <v>1298</v>
      </c>
      <c r="H384" s="9">
        <v>8</v>
      </c>
      <c r="I384" s="9" t="s">
        <v>157</v>
      </c>
      <c r="J384" s="9" t="s">
        <v>32</v>
      </c>
      <c r="K384" s="9" t="s">
        <v>35</v>
      </c>
      <c r="L384" s="20">
        <v>0.5</v>
      </c>
      <c r="M384" s="14">
        <v>-0.5</v>
      </c>
      <c r="AD384" s="14">
        <v>0</v>
      </c>
      <c r="AE384" s="14">
        <v>0</v>
      </c>
      <c r="AG384" s="14" t="s">
        <v>123</v>
      </c>
    </row>
    <row r="385" spans="1:34" s="14" customFormat="1" x14ac:dyDescent="0.25">
      <c r="A385" s="10" t="s">
        <v>504</v>
      </c>
      <c r="B385" s="10"/>
      <c r="C385" s="10">
        <v>0</v>
      </c>
      <c r="D385" s="11">
        <v>42014</v>
      </c>
      <c r="E385" s="12">
        <v>43312</v>
      </c>
      <c r="F385" s="26" t="str">
        <f t="shared" si="12"/>
        <v>42 : 21</v>
      </c>
      <c r="G385" s="14">
        <f t="shared" si="13"/>
        <v>1298</v>
      </c>
      <c r="H385" s="9">
        <v>8</v>
      </c>
      <c r="I385" s="9" t="s">
        <v>158</v>
      </c>
      <c r="J385" s="9" t="s">
        <v>39</v>
      </c>
      <c r="K385" s="9" t="s">
        <v>39</v>
      </c>
      <c r="L385" s="20">
        <v>0.5</v>
      </c>
      <c r="M385" s="14">
        <v>0.5</v>
      </c>
      <c r="AD385" s="14">
        <v>1</v>
      </c>
      <c r="AE385" s="14">
        <v>1</v>
      </c>
      <c r="AG385" s="14" t="s">
        <v>518</v>
      </c>
    </row>
    <row r="386" spans="1:34" s="14" customFormat="1" x14ac:dyDescent="0.25">
      <c r="A386" s="10" t="s">
        <v>519</v>
      </c>
      <c r="B386" s="10"/>
      <c r="C386" s="10">
        <v>0</v>
      </c>
      <c r="D386" s="11">
        <v>42014</v>
      </c>
      <c r="E386" s="12">
        <v>43319</v>
      </c>
      <c r="F386" s="26" t="str">
        <f t="shared" si="12"/>
        <v>42 : 28</v>
      </c>
      <c r="G386" s="14">
        <f t="shared" si="13"/>
        <v>1305</v>
      </c>
      <c r="H386" s="9">
        <v>1</v>
      </c>
      <c r="I386" s="9">
        <v>1</v>
      </c>
      <c r="J386" s="9" t="s">
        <v>30</v>
      </c>
      <c r="K386" s="9" t="s">
        <v>30</v>
      </c>
      <c r="L386" s="15">
        <v>-0.5</v>
      </c>
      <c r="M386" s="14">
        <v>0.5</v>
      </c>
      <c r="AD386" s="14">
        <v>0</v>
      </c>
      <c r="AE386" s="14">
        <v>1</v>
      </c>
      <c r="AG386" s="14" t="s">
        <v>53</v>
      </c>
    </row>
    <row r="387" spans="1:34" s="14" customFormat="1" x14ac:dyDescent="0.25">
      <c r="A387" s="10" t="s">
        <v>519</v>
      </c>
      <c r="B387" s="10"/>
      <c r="C387" s="10">
        <v>0</v>
      </c>
      <c r="D387" s="11">
        <v>42014</v>
      </c>
      <c r="E387" s="12">
        <v>43319</v>
      </c>
      <c r="F387" s="26" t="str">
        <f t="shared" si="12"/>
        <v>42 : 28</v>
      </c>
      <c r="G387" s="14">
        <f t="shared" si="13"/>
        <v>1305</v>
      </c>
      <c r="H387" s="9">
        <v>1</v>
      </c>
      <c r="I387" s="9">
        <v>2</v>
      </c>
      <c r="J387" s="9" t="s">
        <v>32</v>
      </c>
      <c r="K387" s="9" t="s">
        <v>33</v>
      </c>
      <c r="L387" s="15">
        <v>-0.5</v>
      </c>
      <c r="M387" s="14">
        <v>-0.5</v>
      </c>
      <c r="S387" s="14">
        <v>0</v>
      </c>
      <c r="V387" s="14" t="s">
        <v>197</v>
      </c>
      <c r="W387" s="14">
        <v>1</v>
      </c>
      <c r="AD387" s="14">
        <v>0</v>
      </c>
      <c r="AE387" s="14">
        <v>1</v>
      </c>
      <c r="AF387" s="14" t="s">
        <v>520</v>
      </c>
      <c r="AG387" s="14" t="s">
        <v>521</v>
      </c>
    </row>
    <row r="388" spans="1:34" x14ac:dyDescent="0.25">
      <c r="A388" s="3" t="s">
        <v>519</v>
      </c>
      <c r="C388" s="3">
        <v>0</v>
      </c>
      <c r="D388" s="4">
        <v>42014</v>
      </c>
      <c r="E388" s="5">
        <v>43319</v>
      </c>
      <c r="F388" s="25" t="str">
        <f t="shared" si="12"/>
        <v>42 : 28</v>
      </c>
      <c r="G388">
        <f t="shared" si="13"/>
        <v>1305</v>
      </c>
      <c r="H388" s="7">
        <v>1</v>
      </c>
      <c r="I388" s="7">
        <v>3</v>
      </c>
      <c r="J388" s="7" t="s">
        <v>35</v>
      </c>
      <c r="K388" s="9" t="s">
        <v>35</v>
      </c>
      <c r="L388" s="8">
        <v>0.5</v>
      </c>
      <c r="M388">
        <v>0.5</v>
      </c>
      <c r="AD388">
        <v>0</v>
      </c>
      <c r="AE388">
        <v>0</v>
      </c>
      <c r="AG388" t="s">
        <v>522</v>
      </c>
    </row>
    <row r="389" spans="1:34" x14ac:dyDescent="0.25">
      <c r="A389" s="3" t="s">
        <v>519</v>
      </c>
      <c r="C389" s="3">
        <v>0</v>
      </c>
      <c r="D389" s="4">
        <v>42014</v>
      </c>
      <c r="E389" s="5">
        <v>43319</v>
      </c>
      <c r="F389" s="25" t="str">
        <f t="shared" si="12"/>
        <v>42 : 28</v>
      </c>
      <c r="G389">
        <f t="shared" si="13"/>
        <v>1305</v>
      </c>
      <c r="H389" s="7">
        <v>1</v>
      </c>
      <c r="I389" s="7">
        <v>4</v>
      </c>
      <c r="J389" s="7" t="s">
        <v>32</v>
      </c>
      <c r="K389" s="9" t="s">
        <v>32</v>
      </c>
      <c r="L389" s="8">
        <v>0.5</v>
      </c>
      <c r="M389">
        <v>0.5</v>
      </c>
      <c r="T389" s="14">
        <v>1</v>
      </c>
      <c r="U389" s="14"/>
      <c r="AD389">
        <v>0</v>
      </c>
      <c r="AE389">
        <v>0</v>
      </c>
      <c r="AG389" t="s">
        <v>523</v>
      </c>
    </row>
    <row r="390" spans="1:34" x14ac:dyDescent="0.25">
      <c r="A390" s="3" t="s">
        <v>519</v>
      </c>
      <c r="C390" s="3">
        <v>0</v>
      </c>
      <c r="D390" s="4">
        <v>42014</v>
      </c>
      <c r="E390" s="5">
        <v>43319</v>
      </c>
      <c r="F390" s="25" t="str">
        <f t="shared" si="12"/>
        <v>42 : 28</v>
      </c>
      <c r="G390">
        <f t="shared" si="13"/>
        <v>1305</v>
      </c>
      <c r="H390" s="7">
        <v>1</v>
      </c>
      <c r="I390" s="7">
        <v>5</v>
      </c>
      <c r="J390" s="7" t="s">
        <v>33</v>
      </c>
      <c r="K390" s="9" t="s">
        <v>35</v>
      </c>
      <c r="L390" s="8">
        <v>-0.5</v>
      </c>
      <c r="M390">
        <v>-0.5</v>
      </c>
      <c r="AD390">
        <v>0</v>
      </c>
      <c r="AE390">
        <v>1</v>
      </c>
      <c r="AG390" t="s">
        <v>343</v>
      </c>
    </row>
    <row r="391" spans="1:34" x14ac:dyDescent="0.25">
      <c r="A391" s="3" t="s">
        <v>519</v>
      </c>
      <c r="C391" s="3">
        <v>0</v>
      </c>
      <c r="D391" s="4">
        <v>42014</v>
      </c>
      <c r="E391" s="5">
        <v>43319</v>
      </c>
      <c r="F391" s="25" t="str">
        <f t="shared" si="12"/>
        <v>42 : 28</v>
      </c>
      <c r="G391">
        <f t="shared" si="13"/>
        <v>1305</v>
      </c>
      <c r="H391" s="7">
        <v>1</v>
      </c>
      <c r="I391" s="7">
        <v>6</v>
      </c>
      <c r="J391" s="7" t="s">
        <v>39</v>
      </c>
      <c r="K391" s="9" t="s">
        <v>40</v>
      </c>
      <c r="L391" s="8">
        <v>0.5</v>
      </c>
      <c r="M391">
        <v>-0.5</v>
      </c>
      <c r="R391">
        <v>1</v>
      </c>
      <c r="S391">
        <v>0</v>
      </c>
      <c r="Y391">
        <v>1</v>
      </c>
      <c r="AA391">
        <v>1</v>
      </c>
      <c r="AF391" t="s">
        <v>524</v>
      </c>
      <c r="AG391" t="s">
        <v>525</v>
      </c>
    </row>
    <row r="392" spans="1:34" x14ac:dyDescent="0.25">
      <c r="A392" s="3" t="s">
        <v>519</v>
      </c>
      <c r="C392" s="3">
        <v>0</v>
      </c>
      <c r="D392" s="4">
        <v>42014</v>
      </c>
      <c r="E392" s="5">
        <v>43319</v>
      </c>
      <c r="F392" s="25" t="str">
        <f t="shared" si="12"/>
        <v>42 : 28</v>
      </c>
      <c r="G392">
        <f t="shared" si="13"/>
        <v>1305</v>
      </c>
      <c r="H392" s="7">
        <v>1</v>
      </c>
      <c r="I392" s="7">
        <v>7</v>
      </c>
      <c r="J392" s="7" t="s">
        <v>39</v>
      </c>
      <c r="K392" s="9" t="s">
        <v>39</v>
      </c>
      <c r="L392" s="8">
        <v>-0.5</v>
      </c>
      <c r="M392">
        <v>0.5</v>
      </c>
      <c r="AD392">
        <v>0</v>
      </c>
      <c r="AE392">
        <v>1</v>
      </c>
      <c r="AG392" t="s">
        <v>526</v>
      </c>
    </row>
    <row r="393" spans="1:34" x14ac:dyDescent="0.25">
      <c r="A393" s="3" t="s">
        <v>519</v>
      </c>
      <c r="C393" s="3">
        <v>0</v>
      </c>
      <c r="D393" s="4">
        <v>42014</v>
      </c>
      <c r="E393" s="5">
        <v>43319</v>
      </c>
      <c r="F393" s="25" t="str">
        <f t="shared" si="12"/>
        <v>42 : 28</v>
      </c>
      <c r="G393">
        <f t="shared" si="13"/>
        <v>1305</v>
      </c>
      <c r="H393" s="7">
        <v>1</v>
      </c>
      <c r="I393" s="7">
        <v>8</v>
      </c>
      <c r="J393" s="7" t="s">
        <v>35</v>
      </c>
      <c r="K393" s="9" t="s">
        <v>32</v>
      </c>
      <c r="L393" s="8">
        <v>-0.5</v>
      </c>
      <c r="M393">
        <v>-0.5</v>
      </c>
      <c r="S393">
        <v>0</v>
      </c>
      <c r="Y393">
        <v>1</v>
      </c>
      <c r="AA393">
        <v>1</v>
      </c>
      <c r="AF393" t="s">
        <v>527</v>
      </c>
      <c r="AG393" t="s">
        <v>528</v>
      </c>
    </row>
    <row r="394" spans="1:34" x14ac:dyDescent="0.25">
      <c r="A394" s="3" t="s">
        <v>519</v>
      </c>
      <c r="C394" s="3">
        <v>0</v>
      </c>
      <c r="D394" s="4">
        <v>42014</v>
      </c>
      <c r="E394" s="5">
        <v>43319</v>
      </c>
      <c r="F394" s="25" t="str">
        <f t="shared" si="12"/>
        <v>42 : 28</v>
      </c>
      <c r="G394">
        <f t="shared" si="13"/>
        <v>1305</v>
      </c>
      <c r="H394" s="7">
        <v>1</v>
      </c>
      <c r="I394" s="7">
        <v>9</v>
      </c>
      <c r="J394" s="7" t="s">
        <v>40</v>
      </c>
      <c r="K394" s="9" t="s">
        <v>30</v>
      </c>
      <c r="L394" s="8">
        <v>0.5</v>
      </c>
      <c r="M394">
        <v>-0.5</v>
      </c>
      <c r="AD394">
        <v>0</v>
      </c>
      <c r="AE394">
        <v>0</v>
      </c>
      <c r="AG394" t="s">
        <v>52</v>
      </c>
    </row>
    <row r="395" spans="1:34" x14ac:dyDescent="0.25">
      <c r="A395" s="3" t="s">
        <v>519</v>
      </c>
      <c r="C395" s="3">
        <v>0</v>
      </c>
      <c r="D395" s="4">
        <v>42014</v>
      </c>
      <c r="E395" s="5">
        <v>43319</v>
      </c>
      <c r="F395" s="25" t="str">
        <f t="shared" si="12"/>
        <v>42 : 28</v>
      </c>
      <c r="G395">
        <f t="shared" si="13"/>
        <v>1305</v>
      </c>
      <c r="H395" s="7">
        <v>1</v>
      </c>
      <c r="I395" s="7">
        <v>10</v>
      </c>
      <c r="J395" s="7" t="s">
        <v>33</v>
      </c>
      <c r="K395" s="9" t="s">
        <v>33</v>
      </c>
      <c r="L395" s="8">
        <v>0.5</v>
      </c>
      <c r="M395">
        <v>0.5</v>
      </c>
      <c r="AD395">
        <v>0</v>
      </c>
      <c r="AE395">
        <v>0</v>
      </c>
      <c r="AF395" t="s">
        <v>529</v>
      </c>
      <c r="AG395" t="s">
        <v>522</v>
      </c>
      <c r="AH395" t="s">
        <v>530</v>
      </c>
    </row>
    <row r="396" spans="1:34" x14ac:dyDescent="0.25">
      <c r="A396" s="3" t="s">
        <v>519</v>
      </c>
      <c r="C396" s="3">
        <v>0</v>
      </c>
      <c r="D396" s="4">
        <v>42014</v>
      </c>
      <c r="E396" s="5">
        <v>43319</v>
      </c>
      <c r="F396" s="25" t="str">
        <f t="shared" si="12"/>
        <v>42 : 28</v>
      </c>
      <c r="G396">
        <f t="shared" si="13"/>
        <v>1305</v>
      </c>
      <c r="H396" s="7">
        <v>1</v>
      </c>
      <c r="I396" s="7">
        <v>11</v>
      </c>
      <c r="J396" s="7" t="s">
        <v>40</v>
      </c>
      <c r="K396" s="9" t="s">
        <v>40</v>
      </c>
      <c r="L396" s="8">
        <v>-0.5</v>
      </c>
      <c r="M396">
        <v>0.5</v>
      </c>
      <c r="AD396">
        <v>0</v>
      </c>
      <c r="AE396">
        <v>1</v>
      </c>
      <c r="AG396" t="s">
        <v>481</v>
      </c>
    </row>
    <row r="397" spans="1:34" x14ac:dyDescent="0.25">
      <c r="A397" s="3" t="s">
        <v>519</v>
      </c>
      <c r="C397" s="3">
        <v>0</v>
      </c>
      <c r="D397" s="4">
        <v>42014</v>
      </c>
      <c r="E397" s="5">
        <v>43319</v>
      </c>
      <c r="F397" s="25" t="str">
        <f t="shared" si="12"/>
        <v>42 : 28</v>
      </c>
      <c r="G397">
        <f t="shared" si="13"/>
        <v>1305</v>
      </c>
      <c r="H397" s="7">
        <v>1</v>
      </c>
      <c r="I397" s="7">
        <v>12</v>
      </c>
      <c r="J397" s="7" t="s">
        <v>30</v>
      </c>
      <c r="K397" s="9" t="s">
        <v>39</v>
      </c>
      <c r="L397" s="8">
        <v>0.5</v>
      </c>
      <c r="M397">
        <v>-0.5</v>
      </c>
      <c r="AD397">
        <v>0</v>
      </c>
      <c r="AE397">
        <v>0</v>
      </c>
      <c r="AG397" t="s">
        <v>416</v>
      </c>
    </row>
    <row r="398" spans="1:34" s="14" customFormat="1" x14ac:dyDescent="0.25">
      <c r="A398" s="10" t="s">
        <v>531</v>
      </c>
      <c r="B398" s="10"/>
      <c r="C398" s="10">
        <v>1</v>
      </c>
      <c r="D398" s="11">
        <v>42021</v>
      </c>
      <c r="E398" s="12">
        <v>43315</v>
      </c>
      <c r="F398" s="26" t="str">
        <f t="shared" si="12"/>
        <v>42 : 17</v>
      </c>
      <c r="G398" s="14">
        <f t="shared" si="13"/>
        <v>1294</v>
      </c>
      <c r="H398" s="9">
        <v>6</v>
      </c>
      <c r="I398" s="9" t="s">
        <v>143</v>
      </c>
      <c r="J398" s="9" t="s">
        <v>30</v>
      </c>
      <c r="K398" s="9" t="s">
        <v>39</v>
      </c>
      <c r="L398" s="20">
        <v>0.5</v>
      </c>
      <c r="M398" s="14">
        <v>-0.5</v>
      </c>
      <c r="P398" s="14">
        <v>1</v>
      </c>
      <c r="Y398" s="14">
        <v>1</v>
      </c>
      <c r="AF398" s="14" t="s">
        <v>532</v>
      </c>
      <c r="AG398" s="14" t="s">
        <v>533</v>
      </c>
    </row>
    <row r="399" spans="1:34" s="14" customFormat="1" x14ac:dyDescent="0.25">
      <c r="A399" s="10" t="s">
        <v>531</v>
      </c>
      <c r="B399" s="10"/>
      <c r="C399" s="10">
        <v>1</v>
      </c>
      <c r="D399" s="11">
        <v>42021</v>
      </c>
      <c r="E399" s="12">
        <v>43315</v>
      </c>
      <c r="F399" s="26" t="str">
        <f t="shared" si="12"/>
        <v>42 : 17</v>
      </c>
      <c r="G399" s="14">
        <f t="shared" si="13"/>
        <v>1294</v>
      </c>
      <c r="H399" s="9">
        <v>6</v>
      </c>
      <c r="I399" s="9" t="s">
        <v>145</v>
      </c>
      <c r="J399" s="9" t="s">
        <v>35</v>
      </c>
      <c r="K399" s="9" t="s">
        <v>33</v>
      </c>
      <c r="L399" s="20">
        <v>-0.5</v>
      </c>
      <c r="M399" s="14">
        <v>-0.5</v>
      </c>
      <c r="AD399" s="14">
        <v>0</v>
      </c>
      <c r="AE399" s="14">
        <v>1</v>
      </c>
      <c r="AG399" s="14" t="s">
        <v>534</v>
      </c>
    </row>
    <row r="400" spans="1:34" s="14" customFormat="1" x14ac:dyDescent="0.25">
      <c r="A400" s="10" t="s">
        <v>531</v>
      </c>
      <c r="B400" s="10"/>
      <c r="C400" s="10">
        <v>1</v>
      </c>
      <c r="D400" s="11">
        <v>42021</v>
      </c>
      <c r="E400" s="12">
        <v>43315</v>
      </c>
      <c r="F400" s="26" t="str">
        <f t="shared" si="12"/>
        <v>42 : 17</v>
      </c>
      <c r="G400" s="14">
        <f t="shared" si="13"/>
        <v>1294</v>
      </c>
      <c r="H400" s="9">
        <v>6</v>
      </c>
      <c r="I400" s="9" t="s">
        <v>146</v>
      </c>
      <c r="J400" s="9" t="s">
        <v>32</v>
      </c>
      <c r="K400" s="9" t="s">
        <v>32</v>
      </c>
      <c r="L400" s="20">
        <v>0.5</v>
      </c>
      <c r="M400" s="14">
        <v>0.5</v>
      </c>
      <c r="AD400" s="14">
        <v>1</v>
      </c>
      <c r="AE400" s="14">
        <v>1</v>
      </c>
      <c r="AG400" s="14" t="s">
        <v>317</v>
      </c>
    </row>
    <row r="401" spans="1:34" s="14" customFormat="1" x14ac:dyDescent="0.25">
      <c r="A401" s="10" t="s">
        <v>531</v>
      </c>
      <c r="B401" s="10"/>
      <c r="C401" s="10">
        <v>1</v>
      </c>
      <c r="D401" s="11">
        <v>42021</v>
      </c>
      <c r="E401" s="12">
        <v>43315</v>
      </c>
      <c r="F401" s="26" t="str">
        <f t="shared" si="12"/>
        <v>42 : 17</v>
      </c>
      <c r="G401" s="14">
        <f t="shared" si="13"/>
        <v>1294</v>
      </c>
      <c r="H401" s="9">
        <v>6</v>
      </c>
      <c r="I401" s="9" t="s">
        <v>147</v>
      </c>
      <c r="J401" s="9" t="s">
        <v>35</v>
      </c>
      <c r="K401" s="9" t="s">
        <v>35</v>
      </c>
      <c r="L401" s="20">
        <v>0.5</v>
      </c>
      <c r="M401" s="14">
        <v>0.5</v>
      </c>
      <c r="AD401" s="14">
        <v>0</v>
      </c>
      <c r="AE401" s="14">
        <v>0</v>
      </c>
      <c r="AG401" s="14" t="s">
        <v>535</v>
      </c>
    </row>
    <row r="402" spans="1:34" s="14" customFormat="1" x14ac:dyDescent="0.25">
      <c r="A402" s="10" t="s">
        <v>531</v>
      </c>
      <c r="B402" s="10"/>
      <c r="C402" s="10">
        <v>1</v>
      </c>
      <c r="D402" s="11">
        <v>42021</v>
      </c>
      <c r="E402" s="12">
        <v>43315</v>
      </c>
      <c r="F402" s="26" t="str">
        <f t="shared" si="12"/>
        <v>42 : 17</v>
      </c>
      <c r="G402" s="14">
        <f t="shared" si="13"/>
        <v>1294</v>
      </c>
      <c r="H402" s="9">
        <v>6</v>
      </c>
      <c r="I402" s="9" t="s">
        <v>148</v>
      </c>
      <c r="J402" s="9" t="s">
        <v>33</v>
      </c>
      <c r="K402" s="9" t="s">
        <v>32</v>
      </c>
      <c r="L402" s="20">
        <v>-0.5</v>
      </c>
      <c r="M402" s="14">
        <v>-0.5</v>
      </c>
      <c r="AD402" s="14">
        <v>0</v>
      </c>
      <c r="AE402" s="14">
        <v>1</v>
      </c>
      <c r="AG402" s="14" t="s">
        <v>98</v>
      </c>
    </row>
    <row r="403" spans="1:34" s="14" customFormat="1" x14ac:dyDescent="0.25">
      <c r="A403" s="10" t="s">
        <v>531</v>
      </c>
      <c r="B403" s="10"/>
      <c r="C403" s="10">
        <v>1</v>
      </c>
      <c r="D403" s="11">
        <v>42021</v>
      </c>
      <c r="E403" s="12">
        <v>43315</v>
      </c>
      <c r="F403" s="26" t="str">
        <f t="shared" si="12"/>
        <v>42 : 17</v>
      </c>
      <c r="G403" s="14">
        <f t="shared" si="13"/>
        <v>1294</v>
      </c>
      <c r="H403" s="9">
        <v>6</v>
      </c>
      <c r="I403" s="9" t="s">
        <v>152</v>
      </c>
      <c r="J403" s="9" t="s">
        <v>30</v>
      </c>
      <c r="K403" s="9" t="s">
        <v>30</v>
      </c>
      <c r="L403" s="20">
        <v>-0.5</v>
      </c>
      <c r="M403" s="14">
        <v>0.5</v>
      </c>
      <c r="AD403" s="14">
        <v>0</v>
      </c>
      <c r="AE403" s="14">
        <v>1</v>
      </c>
      <c r="AF403" s="14" t="s">
        <v>536</v>
      </c>
      <c r="AG403" s="14" t="s">
        <v>537</v>
      </c>
    </row>
    <row r="404" spans="1:34" s="14" customFormat="1" x14ac:dyDescent="0.25">
      <c r="A404" s="10" t="s">
        <v>531</v>
      </c>
      <c r="B404" s="10"/>
      <c r="C404" s="10">
        <v>1</v>
      </c>
      <c r="D404" s="11">
        <v>42021</v>
      </c>
      <c r="E404" s="12">
        <v>43315</v>
      </c>
      <c r="F404" s="26" t="str">
        <f t="shared" si="12"/>
        <v>42 : 17</v>
      </c>
      <c r="G404" s="14">
        <f t="shared" si="13"/>
        <v>1294</v>
      </c>
      <c r="H404" s="9">
        <v>6</v>
      </c>
      <c r="I404" s="9" t="s">
        <v>153</v>
      </c>
      <c r="J404" s="9" t="s">
        <v>39</v>
      </c>
      <c r="K404" s="9" t="s">
        <v>39</v>
      </c>
      <c r="L404" s="20">
        <v>0.5</v>
      </c>
      <c r="M404" s="9">
        <v>0.5</v>
      </c>
      <c r="O404" s="14">
        <v>1</v>
      </c>
      <c r="S404" s="14">
        <v>0</v>
      </c>
      <c r="AD404" s="14">
        <v>1</v>
      </c>
      <c r="AE404" s="14">
        <v>1</v>
      </c>
      <c r="AF404" s="14" t="s">
        <v>538</v>
      </c>
      <c r="AG404" s="14" t="s">
        <v>88</v>
      </c>
      <c r="AH404" s="14" t="s">
        <v>539</v>
      </c>
    </row>
    <row r="405" spans="1:34" s="14" customFormat="1" x14ac:dyDescent="0.25">
      <c r="A405" s="10" t="s">
        <v>531</v>
      </c>
      <c r="B405" s="10"/>
      <c r="C405" s="10">
        <v>1</v>
      </c>
      <c r="D405" s="11">
        <v>42021</v>
      </c>
      <c r="E405" s="12">
        <v>43315</v>
      </c>
      <c r="F405" s="26" t="str">
        <f t="shared" si="12"/>
        <v>42 : 17</v>
      </c>
      <c r="G405" s="14">
        <f t="shared" si="13"/>
        <v>1294</v>
      </c>
      <c r="H405" s="9">
        <v>6</v>
      </c>
      <c r="I405" s="9" t="s">
        <v>154</v>
      </c>
      <c r="J405" s="9" t="s">
        <v>40</v>
      </c>
      <c r="K405" s="9" t="s">
        <v>40</v>
      </c>
      <c r="L405" s="20">
        <v>-0.5</v>
      </c>
      <c r="M405" s="14">
        <v>0.5</v>
      </c>
      <c r="AD405" s="14">
        <v>0</v>
      </c>
      <c r="AE405" s="14">
        <v>1</v>
      </c>
      <c r="AG405" s="14" t="s">
        <v>540</v>
      </c>
    </row>
    <row r="406" spans="1:34" s="14" customFormat="1" x14ac:dyDescent="0.25">
      <c r="A406" s="10" t="s">
        <v>531</v>
      </c>
      <c r="B406" s="10"/>
      <c r="C406" s="10">
        <v>1</v>
      </c>
      <c r="D406" s="11">
        <v>42021</v>
      </c>
      <c r="E406" s="12">
        <v>43315</v>
      </c>
      <c r="F406" s="26" t="str">
        <f t="shared" si="12"/>
        <v>42 : 17</v>
      </c>
      <c r="G406" s="14">
        <f t="shared" si="13"/>
        <v>1294</v>
      </c>
      <c r="H406" s="9">
        <v>6</v>
      </c>
      <c r="I406" s="9" t="s">
        <v>155</v>
      </c>
      <c r="J406" s="9" t="s">
        <v>33</v>
      </c>
      <c r="K406" s="9" t="s">
        <v>33</v>
      </c>
      <c r="L406" s="20">
        <v>0.5</v>
      </c>
      <c r="M406" s="14">
        <v>0.5</v>
      </c>
      <c r="S406" s="14">
        <v>0</v>
      </c>
      <c r="T406" s="14">
        <v>1</v>
      </c>
      <c r="AD406" s="14">
        <v>0</v>
      </c>
      <c r="AE406" s="14">
        <v>0</v>
      </c>
      <c r="AF406" s="14" t="s">
        <v>541</v>
      </c>
      <c r="AG406" s="14" t="s">
        <v>542</v>
      </c>
    </row>
    <row r="407" spans="1:34" s="14" customFormat="1" x14ac:dyDescent="0.25">
      <c r="A407" s="10" t="s">
        <v>531</v>
      </c>
      <c r="B407" s="10"/>
      <c r="C407" s="10">
        <v>1</v>
      </c>
      <c r="D407" s="11">
        <v>42021</v>
      </c>
      <c r="E407" s="12">
        <v>43315</v>
      </c>
      <c r="F407" s="26" t="str">
        <f t="shared" si="12"/>
        <v>42 : 17</v>
      </c>
      <c r="G407" s="14">
        <f t="shared" si="13"/>
        <v>1294</v>
      </c>
      <c r="H407" s="9">
        <v>6</v>
      </c>
      <c r="I407" s="9" t="s">
        <v>156</v>
      </c>
      <c r="J407" s="9" t="s">
        <v>30</v>
      </c>
      <c r="K407" s="9" t="s">
        <v>40</v>
      </c>
      <c r="L407" s="20">
        <v>0.5</v>
      </c>
      <c r="M407" s="14">
        <v>-0.5</v>
      </c>
      <c r="AD407" s="14">
        <v>0</v>
      </c>
      <c r="AE407" s="14">
        <v>0</v>
      </c>
      <c r="AG407" s="14" t="s">
        <v>53</v>
      </c>
    </row>
    <row r="408" spans="1:34" s="14" customFormat="1" x14ac:dyDescent="0.25">
      <c r="A408" s="10" t="s">
        <v>531</v>
      </c>
      <c r="B408" s="10"/>
      <c r="C408" s="10">
        <v>1</v>
      </c>
      <c r="D408" s="11">
        <v>42021</v>
      </c>
      <c r="E408" s="12">
        <v>43315</v>
      </c>
      <c r="F408" s="26" t="str">
        <f t="shared" si="12"/>
        <v>42 : 17</v>
      </c>
      <c r="G408" s="14">
        <f t="shared" si="13"/>
        <v>1294</v>
      </c>
      <c r="H408" s="9">
        <v>6</v>
      </c>
      <c r="I408" s="9" t="s">
        <v>157</v>
      </c>
      <c r="J408" s="9" t="s">
        <v>32</v>
      </c>
      <c r="K408" s="9" t="s">
        <v>35</v>
      </c>
      <c r="L408" s="20">
        <v>-0.5</v>
      </c>
      <c r="M408" s="14">
        <v>-0.5</v>
      </c>
      <c r="S408" s="14">
        <v>1</v>
      </c>
      <c r="AD408" s="14">
        <v>0</v>
      </c>
      <c r="AE408" s="14">
        <v>1</v>
      </c>
      <c r="AF408" s="14" t="s">
        <v>543</v>
      </c>
      <c r="AG408" s="14" t="s">
        <v>544</v>
      </c>
    </row>
    <row r="409" spans="1:34" s="14" customFormat="1" x14ac:dyDescent="0.25">
      <c r="A409" s="10" t="s">
        <v>531</v>
      </c>
      <c r="B409" s="10"/>
      <c r="C409" s="10">
        <v>1</v>
      </c>
      <c r="D409" s="11">
        <v>42021</v>
      </c>
      <c r="E409" s="12">
        <v>43315</v>
      </c>
      <c r="F409" s="26" t="str">
        <f t="shared" si="12"/>
        <v>42 : 17</v>
      </c>
      <c r="G409" s="14">
        <f t="shared" si="13"/>
        <v>1294</v>
      </c>
      <c r="H409" s="9">
        <v>6</v>
      </c>
      <c r="I409" s="9" t="s">
        <v>158</v>
      </c>
      <c r="J409" s="9" t="s">
        <v>39</v>
      </c>
      <c r="K409" s="9" t="s">
        <v>39</v>
      </c>
      <c r="L409" s="20">
        <v>-0.5</v>
      </c>
      <c r="M409" s="14">
        <v>0.5</v>
      </c>
      <c r="R409" s="14">
        <v>1</v>
      </c>
      <c r="S409" s="14">
        <v>1</v>
      </c>
      <c r="Y409" s="14">
        <v>1</v>
      </c>
      <c r="AD409" s="14">
        <v>0</v>
      </c>
      <c r="AE409" s="14">
        <v>1</v>
      </c>
      <c r="AF409" s="14" t="s">
        <v>545</v>
      </c>
      <c r="AG409" s="14" t="s">
        <v>546</v>
      </c>
    </row>
    <row r="410" spans="1:34" s="14" customFormat="1" x14ac:dyDescent="0.25">
      <c r="A410" s="10" t="s">
        <v>547</v>
      </c>
      <c r="B410" s="10"/>
      <c r="C410" s="10">
        <v>1</v>
      </c>
      <c r="D410" s="11">
        <v>42029</v>
      </c>
      <c r="E410" s="12">
        <v>43329</v>
      </c>
      <c r="F410" s="26" t="str">
        <f t="shared" si="12"/>
        <v>42 : 23</v>
      </c>
      <c r="G410" s="14">
        <f t="shared" si="13"/>
        <v>1300</v>
      </c>
      <c r="H410" s="9">
        <v>3</v>
      </c>
      <c r="I410" s="9">
        <v>1</v>
      </c>
      <c r="J410" s="9" t="s">
        <v>30</v>
      </c>
      <c r="K410" s="9" t="s">
        <v>30</v>
      </c>
      <c r="L410" s="15">
        <v>0.5</v>
      </c>
      <c r="M410" s="14">
        <v>0.5</v>
      </c>
      <c r="AD410" s="14">
        <v>0</v>
      </c>
      <c r="AE410" s="14">
        <v>0</v>
      </c>
      <c r="AG410" s="14" t="s">
        <v>548</v>
      </c>
    </row>
    <row r="411" spans="1:34" s="14" customFormat="1" x14ac:dyDescent="0.25">
      <c r="A411" s="10" t="s">
        <v>547</v>
      </c>
      <c r="B411" s="10"/>
      <c r="C411" s="10">
        <v>1</v>
      </c>
      <c r="D411" s="11">
        <v>42029</v>
      </c>
      <c r="E411" s="12">
        <v>43329</v>
      </c>
      <c r="F411" s="26" t="str">
        <f t="shared" si="12"/>
        <v>42 : 23</v>
      </c>
      <c r="G411" s="14">
        <f t="shared" si="13"/>
        <v>1300</v>
      </c>
      <c r="H411" s="9">
        <v>3</v>
      </c>
      <c r="I411" s="9">
        <v>2</v>
      </c>
      <c r="J411" s="9" t="s">
        <v>32</v>
      </c>
      <c r="K411" s="9" t="s">
        <v>33</v>
      </c>
      <c r="L411" s="15">
        <v>0.5</v>
      </c>
      <c r="M411" s="14">
        <v>-0.5</v>
      </c>
      <c r="Y411" s="14">
        <v>1</v>
      </c>
      <c r="AA411" s="14">
        <v>1</v>
      </c>
      <c r="AC411" s="14">
        <v>1</v>
      </c>
      <c r="AF411" s="14" t="s">
        <v>549</v>
      </c>
      <c r="AG411" s="14" t="s">
        <v>550</v>
      </c>
    </row>
    <row r="412" spans="1:34" x14ac:dyDescent="0.25">
      <c r="A412" s="3" t="s">
        <v>547</v>
      </c>
      <c r="C412" s="3">
        <v>1</v>
      </c>
      <c r="D412" s="4">
        <v>42029</v>
      </c>
      <c r="E412" s="5">
        <v>43329</v>
      </c>
      <c r="F412" s="25" t="str">
        <f t="shared" si="12"/>
        <v>42 : 23</v>
      </c>
      <c r="G412">
        <f t="shared" si="13"/>
        <v>1300</v>
      </c>
      <c r="H412" s="7">
        <v>3</v>
      </c>
      <c r="I412" s="7">
        <v>3</v>
      </c>
      <c r="J412" s="7" t="s">
        <v>35</v>
      </c>
      <c r="K412" s="9" t="s">
        <v>35</v>
      </c>
      <c r="L412" s="8">
        <v>-0.5</v>
      </c>
      <c r="M412">
        <v>0.5</v>
      </c>
      <c r="AD412" s="14">
        <v>0</v>
      </c>
      <c r="AE412" s="14">
        <v>1</v>
      </c>
      <c r="AG412" t="s">
        <v>551</v>
      </c>
    </row>
    <row r="413" spans="1:34" x14ac:dyDescent="0.25">
      <c r="A413" s="3" t="s">
        <v>547</v>
      </c>
      <c r="C413" s="3">
        <v>1</v>
      </c>
      <c r="D413" s="4">
        <v>42029</v>
      </c>
      <c r="E413" s="5">
        <v>43329</v>
      </c>
      <c r="F413" s="25" t="str">
        <f t="shared" si="12"/>
        <v>42 : 23</v>
      </c>
      <c r="G413">
        <f t="shared" si="13"/>
        <v>1300</v>
      </c>
      <c r="H413" s="7">
        <v>3</v>
      </c>
      <c r="I413" s="7">
        <v>4</v>
      </c>
      <c r="J413" s="7" t="s">
        <v>32</v>
      </c>
      <c r="K413" s="9" t="s">
        <v>32</v>
      </c>
      <c r="L413" s="8">
        <v>-0.5</v>
      </c>
      <c r="M413">
        <v>0.5</v>
      </c>
      <c r="AD413" s="14">
        <v>0</v>
      </c>
      <c r="AE413" s="14">
        <v>1</v>
      </c>
      <c r="AG413" t="s">
        <v>51</v>
      </c>
    </row>
    <row r="414" spans="1:34" x14ac:dyDescent="0.25">
      <c r="A414" s="3" t="s">
        <v>547</v>
      </c>
      <c r="C414" s="3">
        <v>1</v>
      </c>
      <c r="D414" s="4">
        <v>42029</v>
      </c>
      <c r="E414" s="5">
        <v>43329</v>
      </c>
      <c r="F414" s="25" t="str">
        <f t="shared" si="12"/>
        <v>42 : 23</v>
      </c>
      <c r="G414">
        <f t="shared" si="13"/>
        <v>1300</v>
      </c>
      <c r="H414" s="7">
        <v>3</v>
      </c>
      <c r="I414" s="7">
        <v>5</v>
      </c>
      <c r="J414" s="7" t="s">
        <v>33</v>
      </c>
      <c r="K414" s="9" t="s">
        <v>35</v>
      </c>
      <c r="L414" s="8">
        <v>0.5</v>
      </c>
      <c r="M414">
        <v>-0.5</v>
      </c>
      <c r="AD414" s="14">
        <v>0</v>
      </c>
      <c r="AE414" s="14">
        <v>1</v>
      </c>
      <c r="AG414" t="s">
        <v>552</v>
      </c>
    </row>
    <row r="415" spans="1:34" x14ac:dyDescent="0.25">
      <c r="A415" s="3" t="s">
        <v>547</v>
      </c>
      <c r="C415" s="3">
        <v>1</v>
      </c>
      <c r="D415" s="4">
        <v>42029</v>
      </c>
      <c r="E415" s="5">
        <v>43329</v>
      </c>
      <c r="F415" s="25" t="str">
        <f t="shared" si="12"/>
        <v>42 : 23</v>
      </c>
      <c r="G415">
        <f t="shared" si="13"/>
        <v>1300</v>
      </c>
      <c r="H415" s="7">
        <v>3</v>
      </c>
      <c r="I415" s="7">
        <v>6</v>
      </c>
      <c r="J415" s="7" t="s">
        <v>39</v>
      </c>
      <c r="K415" s="9" t="s">
        <v>40</v>
      </c>
      <c r="L415" s="8">
        <v>-0.5</v>
      </c>
      <c r="M415">
        <v>-0.5</v>
      </c>
      <c r="AD415" s="14">
        <v>0</v>
      </c>
      <c r="AE415" s="14">
        <v>1</v>
      </c>
      <c r="AG415" t="s">
        <v>50</v>
      </c>
    </row>
    <row r="416" spans="1:34" x14ac:dyDescent="0.25">
      <c r="A416" s="3" t="s">
        <v>547</v>
      </c>
      <c r="C416" s="3">
        <v>1</v>
      </c>
      <c r="D416" s="4">
        <v>42029</v>
      </c>
      <c r="E416" s="5">
        <v>43329</v>
      </c>
      <c r="F416" s="25" t="str">
        <f t="shared" si="12"/>
        <v>42 : 23</v>
      </c>
      <c r="G416">
        <f t="shared" si="13"/>
        <v>1300</v>
      </c>
      <c r="H416" s="7">
        <v>3</v>
      </c>
      <c r="I416" s="7">
        <v>7</v>
      </c>
      <c r="J416" s="7" t="s">
        <v>39</v>
      </c>
      <c r="K416" s="9" t="s">
        <v>39</v>
      </c>
      <c r="L416" s="8">
        <v>0.5</v>
      </c>
      <c r="M416">
        <v>0.5</v>
      </c>
      <c r="AD416" s="14">
        <v>0</v>
      </c>
      <c r="AE416" s="14">
        <v>0</v>
      </c>
      <c r="AG416" t="s">
        <v>67</v>
      </c>
    </row>
    <row r="417" spans="1:34" x14ac:dyDescent="0.25">
      <c r="A417" s="3" t="s">
        <v>547</v>
      </c>
      <c r="C417" s="3">
        <v>1</v>
      </c>
      <c r="D417" s="4">
        <v>42029</v>
      </c>
      <c r="E417" s="5">
        <v>43329</v>
      </c>
      <c r="F417" s="25" t="str">
        <f t="shared" si="12"/>
        <v>42 : 23</v>
      </c>
      <c r="G417">
        <f t="shared" si="13"/>
        <v>1300</v>
      </c>
      <c r="H417" s="7">
        <v>3</v>
      </c>
      <c r="I417" s="7">
        <v>8</v>
      </c>
      <c r="J417" s="7" t="s">
        <v>35</v>
      </c>
      <c r="K417" s="9" t="s">
        <v>32</v>
      </c>
      <c r="L417" s="8">
        <v>0.5</v>
      </c>
      <c r="M417">
        <v>-0.5</v>
      </c>
      <c r="Q417">
        <v>1</v>
      </c>
      <c r="AD417" s="14">
        <v>0</v>
      </c>
      <c r="AE417" s="14">
        <v>0</v>
      </c>
      <c r="AF417" t="s">
        <v>553</v>
      </c>
      <c r="AG417" t="s">
        <v>51</v>
      </c>
    </row>
    <row r="418" spans="1:34" x14ac:dyDescent="0.25">
      <c r="A418" s="3" t="s">
        <v>547</v>
      </c>
      <c r="C418" s="3">
        <v>1</v>
      </c>
      <c r="D418" s="4">
        <v>42029</v>
      </c>
      <c r="E418" s="5">
        <v>43329</v>
      </c>
      <c r="F418" s="25" t="str">
        <f t="shared" si="12"/>
        <v>42 : 23</v>
      </c>
      <c r="G418">
        <f t="shared" si="13"/>
        <v>1300</v>
      </c>
      <c r="H418" s="7">
        <v>3</v>
      </c>
      <c r="I418" s="7">
        <v>9</v>
      </c>
      <c r="J418" s="7" t="s">
        <v>40</v>
      </c>
      <c r="K418" s="9" t="s">
        <v>30</v>
      </c>
      <c r="L418" s="8">
        <v>-0.5</v>
      </c>
      <c r="M418">
        <v>-0.5</v>
      </c>
      <c r="AD418" s="14">
        <v>0</v>
      </c>
      <c r="AE418" s="14">
        <v>1</v>
      </c>
      <c r="AG418" t="s">
        <v>554</v>
      </c>
    </row>
    <row r="419" spans="1:34" x14ac:dyDescent="0.25">
      <c r="A419" s="3" t="s">
        <v>547</v>
      </c>
      <c r="C419" s="3">
        <v>1</v>
      </c>
      <c r="D419" s="4">
        <v>42029</v>
      </c>
      <c r="E419" s="5">
        <v>43329</v>
      </c>
      <c r="F419" s="25" t="str">
        <f t="shared" si="12"/>
        <v>42 : 23</v>
      </c>
      <c r="G419">
        <f t="shared" si="13"/>
        <v>1300</v>
      </c>
      <c r="H419" s="7">
        <v>3</v>
      </c>
      <c r="I419" s="7">
        <v>10</v>
      </c>
      <c r="J419" s="7" t="s">
        <v>33</v>
      </c>
      <c r="K419" s="9" t="s">
        <v>33</v>
      </c>
      <c r="L419" s="8">
        <v>-0.5</v>
      </c>
      <c r="M419">
        <v>0.5</v>
      </c>
      <c r="AD419" s="14">
        <v>0</v>
      </c>
      <c r="AE419" s="14">
        <v>1</v>
      </c>
      <c r="AG419" t="s">
        <v>522</v>
      </c>
    </row>
    <row r="420" spans="1:34" x14ac:dyDescent="0.25">
      <c r="A420" s="3" t="s">
        <v>547</v>
      </c>
      <c r="C420" s="3">
        <v>1</v>
      </c>
      <c r="D420" s="4">
        <v>42029</v>
      </c>
      <c r="E420" s="5">
        <v>43329</v>
      </c>
      <c r="F420" s="25" t="str">
        <f t="shared" si="12"/>
        <v>42 : 23</v>
      </c>
      <c r="G420">
        <f t="shared" si="13"/>
        <v>1300</v>
      </c>
      <c r="H420" s="7">
        <v>3</v>
      </c>
      <c r="I420" s="7">
        <v>11</v>
      </c>
      <c r="J420" s="7" t="s">
        <v>40</v>
      </c>
      <c r="K420" s="9" t="s">
        <v>40</v>
      </c>
      <c r="L420" s="8">
        <v>0.5</v>
      </c>
      <c r="M420">
        <v>0.5</v>
      </c>
      <c r="AD420" s="14">
        <v>0</v>
      </c>
      <c r="AE420" s="14">
        <v>0</v>
      </c>
      <c r="AG420" t="s">
        <v>481</v>
      </c>
    </row>
    <row r="421" spans="1:34" x14ac:dyDescent="0.25">
      <c r="A421" s="3" t="s">
        <v>547</v>
      </c>
      <c r="C421" s="3">
        <v>1</v>
      </c>
      <c r="D421" s="4">
        <v>42029</v>
      </c>
      <c r="E421" s="5">
        <v>43329</v>
      </c>
      <c r="F421" s="25" t="str">
        <f t="shared" si="12"/>
        <v>42 : 23</v>
      </c>
      <c r="G421">
        <f t="shared" si="13"/>
        <v>1300</v>
      </c>
      <c r="H421" s="7">
        <v>3</v>
      </c>
      <c r="I421" s="7">
        <v>12</v>
      </c>
      <c r="J421" s="7" t="s">
        <v>30</v>
      </c>
      <c r="K421" s="9" t="s">
        <v>39</v>
      </c>
      <c r="L421" s="8">
        <v>-0.5</v>
      </c>
      <c r="M421">
        <v>-0.5</v>
      </c>
      <c r="AD421" s="14">
        <v>0</v>
      </c>
      <c r="AE421" s="14">
        <v>1</v>
      </c>
      <c r="AG421" t="s">
        <v>555</v>
      </c>
    </row>
    <row r="422" spans="1:34" s="14" customFormat="1" x14ac:dyDescent="0.25">
      <c r="A422" s="10" t="s">
        <v>556</v>
      </c>
      <c r="B422" s="10"/>
      <c r="C422" s="10">
        <v>0</v>
      </c>
      <c r="D422" s="11">
        <v>42038</v>
      </c>
      <c r="E422" s="12">
        <v>43332</v>
      </c>
      <c r="F422" s="26" t="str">
        <f t="shared" si="12"/>
        <v>42 : 17</v>
      </c>
      <c r="G422" s="14">
        <f t="shared" si="13"/>
        <v>1294</v>
      </c>
      <c r="H422" s="22">
        <v>4</v>
      </c>
      <c r="I422" s="9" t="s">
        <v>97</v>
      </c>
      <c r="J422" s="9" t="s">
        <v>30</v>
      </c>
      <c r="K422" s="9" t="s">
        <v>30</v>
      </c>
      <c r="L422" s="20">
        <v>0.5</v>
      </c>
      <c r="M422" s="14">
        <v>0.5</v>
      </c>
      <c r="Q422" s="14">
        <v>1</v>
      </c>
      <c r="Y422" s="14">
        <v>1</v>
      </c>
      <c r="AA422" s="14">
        <v>1</v>
      </c>
      <c r="AD422" s="13"/>
      <c r="AE422" s="13"/>
      <c r="AF422" s="14" t="s">
        <v>557</v>
      </c>
      <c r="AG422" s="14" t="s">
        <v>558</v>
      </c>
    </row>
    <row r="423" spans="1:34" s="14" customFormat="1" x14ac:dyDescent="0.25">
      <c r="A423" s="10" t="s">
        <v>556</v>
      </c>
      <c r="B423" s="10"/>
      <c r="C423" s="10">
        <v>0</v>
      </c>
      <c r="D423" s="11">
        <v>42038</v>
      </c>
      <c r="E423" s="12">
        <v>43332</v>
      </c>
      <c r="F423" s="26" t="str">
        <f t="shared" si="12"/>
        <v>42 : 17</v>
      </c>
      <c r="G423" s="14">
        <f t="shared" si="13"/>
        <v>1294</v>
      </c>
      <c r="H423" s="22">
        <v>4</v>
      </c>
      <c r="I423" s="9" t="s">
        <v>99</v>
      </c>
      <c r="J423" s="9" t="s">
        <v>33</v>
      </c>
      <c r="K423" s="9" t="s">
        <v>32</v>
      </c>
      <c r="L423" s="20">
        <v>0.5</v>
      </c>
      <c r="M423" s="14">
        <v>-0.5</v>
      </c>
      <c r="Z423" s="14">
        <v>1</v>
      </c>
      <c r="AA423" s="14">
        <v>1</v>
      </c>
      <c r="AF423" s="14" t="s">
        <v>559</v>
      </c>
      <c r="AG423" s="14" t="s">
        <v>163</v>
      </c>
    </row>
    <row r="424" spans="1:34" s="14" customFormat="1" x14ac:dyDescent="0.25">
      <c r="A424" s="10" t="s">
        <v>556</v>
      </c>
      <c r="B424" s="10"/>
      <c r="C424" s="10">
        <v>0</v>
      </c>
      <c r="D424" s="11">
        <v>42038</v>
      </c>
      <c r="E424" s="12">
        <v>43332</v>
      </c>
      <c r="F424" s="26" t="str">
        <f t="shared" si="12"/>
        <v>42 : 17</v>
      </c>
      <c r="G424" s="14">
        <f t="shared" si="13"/>
        <v>1294</v>
      </c>
      <c r="H424" s="22">
        <v>4</v>
      </c>
      <c r="I424" s="9" t="s">
        <v>103</v>
      </c>
      <c r="J424" s="9" t="s">
        <v>35</v>
      </c>
      <c r="K424" s="9" t="s">
        <v>35</v>
      </c>
      <c r="L424" s="20">
        <v>-0.5</v>
      </c>
      <c r="M424" s="14">
        <v>0.5</v>
      </c>
      <c r="AD424" s="14">
        <v>0</v>
      </c>
      <c r="AE424" s="14">
        <v>1</v>
      </c>
      <c r="AG424" s="14" t="s">
        <v>560</v>
      </c>
      <c r="AH424" s="14" t="s">
        <v>263</v>
      </c>
    </row>
    <row r="425" spans="1:34" s="14" customFormat="1" x14ac:dyDescent="0.25">
      <c r="A425" s="10" t="s">
        <v>556</v>
      </c>
      <c r="B425" s="10"/>
      <c r="C425" s="10">
        <v>0</v>
      </c>
      <c r="D425" s="11">
        <v>42038</v>
      </c>
      <c r="E425" s="12">
        <v>43332</v>
      </c>
      <c r="F425" s="26" t="str">
        <f t="shared" si="12"/>
        <v>42 : 17</v>
      </c>
      <c r="G425" s="14">
        <f t="shared" si="13"/>
        <v>1294</v>
      </c>
      <c r="H425" s="22">
        <v>4</v>
      </c>
      <c r="I425" s="9" t="s">
        <v>104</v>
      </c>
      <c r="J425" s="9" t="s">
        <v>32</v>
      </c>
      <c r="K425" s="9" t="s">
        <v>32</v>
      </c>
      <c r="L425" s="20">
        <v>-0.5</v>
      </c>
      <c r="M425" s="14">
        <v>0.5</v>
      </c>
      <c r="AD425" s="14">
        <v>0</v>
      </c>
      <c r="AE425" s="14">
        <v>1</v>
      </c>
      <c r="AG425" s="14" t="s">
        <v>561</v>
      </c>
      <c r="AH425" s="14" t="s">
        <v>263</v>
      </c>
    </row>
    <row r="426" spans="1:34" s="14" customFormat="1" x14ac:dyDescent="0.25">
      <c r="A426" s="10" t="s">
        <v>556</v>
      </c>
      <c r="B426" s="10"/>
      <c r="C426" s="10">
        <v>0</v>
      </c>
      <c r="D426" s="11">
        <v>42038</v>
      </c>
      <c r="E426" s="12">
        <v>43332</v>
      </c>
      <c r="F426" s="26" t="str">
        <f t="shared" ref="F426:F489" si="14">DATEDIF(D426,E426,"M")&amp;" : "&amp;DATEDIF(D426,E426,"MD")</f>
        <v>42 : 17</v>
      </c>
      <c r="G426" s="14">
        <f t="shared" ref="G426:G489" si="15">DATEDIF(D426,E426,"D")</f>
        <v>1294</v>
      </c>
      <c r="H426" s="22">
        <v>4</v>
      </c>
      <c r="I426" s="9" t="s">
        <v>107</v>
      </c>
      <c r="J426" s="9" t="s">
        <v>35</v>
      </c>
      <c r="K426" s="9" t="s">
        <v>33</v>
      </c>
      <c r="L426" s="20">
        <v>0.5</v>
      </c>
      <c r="M426" s="14">
        <v>-0.5</v>
      </c>
      <c r="S426" s="14">
        <v>0</v>
      </c>
      <c r="AD426" s="14">
        <v>0</v>
      </c>
      <c r="AE426" s="14">
        <v>0</v>
      </c>
      <c r="AF426" s="14" t="s">
        <v>562</v>
      </c>
      <c r="AG426" s="14" t="s">
        <v>563</v>
      </c>
    </row>
    <row r="427" spans="1:34" s="14" customFormat="1" x14ac:dyDescent="0.25">
      <c r="A427" s="10" t="s">
        <v>556</v>
      </c>
      <c r="B427" s="10"/>
      <c r="C427" s="10">
        <v>0</v>
      </c>
      <c r="D427" s="11">
        <v>42038</v>
      </c>
      <c r="E427" s="12">
        <v>43332</v>
      </c>
      <c r="F427" s="26" t="str">
        <f t="shared" si="14"/>
        <v>42 : 17</v>
      </c>
      <c r="G427" s="14">
        <f t="shared" si="15"/>
        <v>1294</v>
      </c>
      <c r="H427" s="22">
        <v>4</v>
      </c>
      <c r="I427" s="9" t="s">
        <v>110</v>
      </c>
      <c r="J427" s="9" t="s">
        <v>40</v>
      </c>
      <c r="K427" s="9" t="s">
        <v>39</v>
      </c>
      <c r="L427" s="20">
        <v>-0.5</v>
      </c>
      <c r="M427" s="14">
        <v>-0.5</v>
      </c>
      <c r="S427" s="14">
        <v>0</v>
      </c>
      <c r="AD427" s="14">
        <v>0</v>
      </c>
      <c r="AE427" s="14">
        <v>1</v>
      </c>
      <c r="AF427" s="14" t="s">
        <v>564</v>
      </c>
      <c r="AG427" s="14" t="s">
        <v>354</v>
      </c>
    </row>
    <row r="428" spans="1:34" s="14" customFormat="1" x14ac:dyDescent="0.25">
      <c r="A428" s="10" t="s">
        <v>556</v>
      </c>
      <c r="B428" s="10"/>
      <c r="C428" s="10">
        <v>0</v>
      </c>
      <c r="D428" s="11">
        <v>42038</v>
      </c>
      <c r="E428" s="12">
        <v>43332</v>
      </c>
      <c r="F428" s="26" t="str">
        <f t="shared" si="14"/>
        <v>42 : 17</v>
      </c>
      <c r="G428" s="14">
        <f t="shared" si="15"/>
        <v>1294</v>
      </c>
      <c r="H428" s="22">
        <v>4</v>
      </c>
      <c r="I428" s="9" t="s">
        <v>113</v>
      </c>
      <c r="J428" s="9" t="s">
        <v>39</v>
      </c>
      <c r="K428" s="9" t="s">
        <v>39</v>
      </c>
      <c r="L428" s="20">
        <v>0.5</v>
      </c>
      <c r="M428" s="14">
        <v>0.5</v>
      </c>
      <c r="AD428" s="14">
        <v>0</v>
      </c>
      <c r="AE428" s="14">
        <v>0</v>
      </c>
      <c r="AF428" s="14" t="s">
        <v>565</v>
      </c>
      <c r="AG428" s="14" t="s">
        <v>265</v>
      </c>
      <c r="AH428" s="14" t="s">
        <v>566</v>
      </c>
    </row>
    <row r="429" spans="1:34" s="14" customFormat="1" x14ac:dyDescent="0.25">
      <c r="A429" s="10" t="s">
        <v>556</v>
      </c>
      <c r="B429" s="10"/>
      <c r="C429" s="10">
        <v>0</v>
      </c>
      <c r="D429" s="11">
        <v>42038</v>
      </c>
      <c r="E429" s="12">
        <v>43332</v>
      </c>
      <c r="F429" s="26" t="str">
        <f t="shared" si="14"/>
        <v>42 : 17</v>
      </c>
      <c r="G429" s="14">
        <f t="shared" si="15"/>
        <v>1294</v>
      </c>
      <c r="H429" s="22">
        <v>4</v>
      </c>
      <c r="I429" s="9" t="s">
        <v>115</v>
      </c>
      <c r="J429" s="9" t="s">
        <v>32</v>
      </c>
      <c r="K429" s="9" t="s">
        <v>35</v>
      </c>
      <c r="L429" s="20">
        <v>0.5</v>
      </c>
      <c r="M429" s="14">
        <v>-0.5</v>
      </c>
      <c r="AD429" s="14">
        <v>0</v>
      </c>
      <c r="AE429" s="14">
        <v>0</v>
      </c>
      <c r="AF429" s="14" t="s">
        <v>567</v>
      </c>
      <c r="AG429" s="14" t="s">
        <v>515</v>
      </c>
    </row>
    <row r="430" spans="1:34" s="14" customFormat="1" x14ac:dyDescent="0.25">
      <c r="A430" s="10" t="s">
        <v>556</v>
      </c>
      <c r="B430" s="10"/>
      <c r="C430" s="10">
        <v>0</v>
      </c>
      <c r="D430" s="11">
        <v>42038</v>
      </c>
      <c r="E430" s="12">
        <v>43332</v>
      </c>
      <c r="F430" s="26" t="str">
        <f t="shared" si="14"/>
        <v>42 : 17</v>
      </c>
      <c r="G430" s="14">
        <f t="shared" si="15"/>
        <v>1294</v>
      </c>
      <c r="H430" s="22">
        <v>4</v>
      </c>
      <c r="I430" s="9" t="s">
        <v>117</v>
      </c>
      <c r="J430" s="9" t="s">
        <v>30</v>
      </c>
      <c r="K430" s="9" t="s">
        <v>40</v>
      </c>
      <c r="L430" s="20">
        <v>-0.5</v>
      </c>
      <c r="M430" s="14">
        <v>-0.5</v>
      </c>
      <c r="Q430" s="14">
        <v>1</v>
      </c>
      <c r="AD430" s="14">
        <v>0</v>
      </c>
      <c r="AE430" s="14">
        <v>1</v>
      </c>
      <c r="AF430" s="14" t="s">
        <v>568</v>
      </c>
      <c r="AG430" s="14" t="s">
        <v>569</v>
      </c>
      <c r="AH430" s="14" t="s">
        <v>570</v>
      </c>
    </row>
    <row r="431" spans="1:34" s="14" customFormat="1" x14ac:dyDescent="0.25">
      <c r="A431" s="10" t="s">
        <v>556</v>
      </c>
      <c r="B431" s="10"/>
      <c r="C431" s="10">
        <v>0</v>
      </c>
      <c r="D431" s="11">
        <v>42038</v>
      </c>
      <c r="E431" s="12">
        <v>43332</v>
      </c>
      <c r="F431" s="26" t="str">
        <f t="shared" si="14"/>
        <v>42 : 17</v>
      </c>
      <c r="G431" s="14">
        <f t="shared" si="15"/>
        <v>1294</v>
      </c>
      <c r="H431" s="22">
        <v>4</v>
      </c>
      <c r="I431" s="9" t="s">
        <v>121</v>
      </c>
      <c r="J431" s="9" t="s">
        <v>33</v>
      </c>
      <c r="K431" s="9" t="s">
        <v>33</v>
      </c>
      <c r="L431" s="20">
        <v>-0.5</v>
      </c>
      <c r="M431" s="14">
        <v>0.5</v>
      </c>
      <c r="Q431" s="14">
        <v>1</v>
      </c>
      <c r="S431" s="14">
        <v>0</v>
      </c>
      <c r="AD431" s="14">
        <v>0</v>
      </c>
      <c r="AE431" s="14">
        <v>1</v>
      </c>
      <c r="AF431" s="14" t="s">
        <v>571</v>
      </c>
      <c r="AG431" s="14" t="s">
        <v>123</v>
      </c>
    </row>
    <row r="432" spans="1:34" s="14" customFormat="1" x14ac:dyDescent="0.25">
      <c r="A432" s="10" t="s">
        <v>556</v>
      </c>
      <c r="B432" s="10"/>
      <c r="C432" s="10">
        <v>0</v>
      </c>
      <c r="D432" s="11">
        <v>42038</v>
      </c>
      <c r="E432" s="12">
        <v>43332</v>
      </c>
      <c r="F432" s="26" t="str">
        <f t="shared" si="14"/>
        <v>42 : 17</v>
      </c>
      <c r="G432" s="14">
        <f t="shared" si="15"/>
        <v>1294</v>
      </c>
      <c r="H432" s="22">
        <v>4</v>
      </c>
      <c r="I432" s="9" t="s">
        <v>124</v>
      </c>
      <c r="J432" s="9" t="s">
        <v>40</v>
      </c>
      <c r="K432" s="9" t="s">
        <v>40</v>
      </c>
      <c r="L432" s="20">
        <v>0.5</v>
      </c>
      <c r="M432" s="14">
        <v>0.5</v>
      </c>
      <c r="R432" s="14">
        <v>1</v>
      </c>
      <c r="Y432" s="14">
        <v>1</v>
      </c>
      <c r="AD432" s="14">
        <v>0</v>
      </c>
      <c r="AE432" s="14">
        <v>0</v>
      </c>
      <c r="AF432" s="14" t="s">
        <v>572</v>
      </c>
      <c r="AG432" s="14" t="s">
        <v>84</v>
      </c>
    </row>
    <row r="433" spans="1:34" s="14" customFormat="1" x14ac:dyDescent="0.25">
      <c r="A433" s="10" t="s">
        <v>556</v>
      </c>
      <c r="B433" s="10"/>
      <c r="C433" s="10">
        <v>0</v>
      </c>
      <c r="D433" s="11">
        <v>42038</v>
      </c>
      <c r="E433" s="12">
        <v>43332</v>
      </c>
      <c r="F433" s="26" t="str">
        <f t="shared" si="14"/>
        <v>42 : 17</v>
      </c>
      <c r="G433" s="14">
        <f t="shared" si="15"/>
        <v>1294</v>
      </c>
      <c r="H433" s="22">
        <v>4</v>
      </c>
      <c r="I433" s="9" t="s">
        <v>127</v>
      </c>
      <c r="J433" s="9" t="s">
        <v>39</v>
      </c>
      <c r="K433" s="9" t="s">
        <v>30</v>
      </c>
      <c r="L433" s="20">
        <v>-0.5</v>
      </c>
      <c r="M433" s="14">
        <v>-0.5</v>
      </c>
      <c r="AD433" s="14">
        <v>0</v>
      </c>
      <c r="AE433" s="14">
        <v>1</v>
      </c>
      <c r="AG433" s="14" t="s">
        <v>573</v>
      </c>
      <c r="AH433" s="14" t="s">
        <v>280</v>
      </c>
    </row>
    <row r="434" spans="1:34" s="14" customFormat="1" x14ac:dyDescent="0.25">
      <c r="A434" s="10" t="s">
        <v>574</v>
      </c>
      <c r="B434" s="10"/>
      <c r="C434" s="10">
        <v>1</v>
      </c>
      <c r="D434" s="11">
        <v>42037</v>
      </c>
      <c r="E434" s="12">
        <v>43328</v>
      </c>
      <c r="F434" s="26" t="str">
        <f t="shared" si="14"/>
        <v>42 : 14</v>
      </c>
      <c r="G434" s="14">
        <f t="shared" si="15"/>
        <v>1291</v>
      </c>
      <c r="H434" s="22">
        <v>2</v>
      </c>
      <c r="I434" s="9" t="s">
        <v>97</v>
      </c>
      <c r="J434" s="9" t="s">
        <v>30</v>
      </c>
      <c r="K434" s="9" t="s">
        <v>30</v>
      </c>
      <c r="L434" s="20">
        <v>-0.5</v>
      </c>
      <c r="M434" s="14">
        <v>0.5</v>
      </c>
      <c r="AD434" s="14">
        <v>0</v>
      </c>
      <c r="AE434" s="14">
        <v>1</v>
      </c>
      <c r="AG434" s="14" t="s">
        <v>575</v>
      </c>
    </row>
    <row r="435" spans="1:34" s="14" customFormat="1" x14ac:dyDescent="0.25">
      <c r="A435" s="10" t="s">
        <v>574</v>
      </c>
      <c r="B435" s="10"/>
      <c r="C435" s="10">
        <v>1</v>
      </c>
      <c r="D435" s="11">
        <v>42037</v>
      </c>
      <c r="E435" s="12">
        <v>43328</v>
      </c>
      <c r="F435" s="26" t="str">
        <f t="shared" si="14"/>
        <v>42 : 14</v>
      </c>
      <c r="G435" s="14">
        <f t="shared" si="15"/>
        <v>1291</v>
      </c>
      <c r="H435" s="22">
        <v>2</v>
      </c>
      <c r="I435" s="9" t="s">
        <v>148</v>
      </c>
      <c r="J435" s="9" t="s">
        <v>33</v>
      </c>
      <c r="K435" s="9" t="s">
        <v>32</v>
      </c>
      <c r="L435" s="20">
        <v>-0.5</v>
      </c>
      <c r="M435" s="14">
        <v>-0.5</v>
      </c>
      <c r="AD435" s="14">
        <v>0</v>
      </c>
      <c r="AE435" s="14">
        <v>1</v>
      </c>
      <c r="AG435" s="14" t="s">
        <v>575</v>
      </c>
    </row>
    <row r="436" spans="1:34" s="14" customFormat="1" x14ac:dyDescent="0.25">
      <c r="A436" s="10" t="s">
        <v>574</v>
      </c>
      <c r="B436" s="10"/>
      <c r="C436" s="10">
        <v>1</v>
      </c>
      <c r="D436" s="11">
        <v>42037</v>
      </c>
      <c r="E436" s="12">
        <v>43328</v>
      </c>
      <c r="F436" s="26" t="str">
        <f t="shared" si="14"/>
        <v>42 : 14</v>
      </c>
      <c r="G436" s="14">
        <f t="shared" si="15"/>
        <v>1291</v>
      </c>
      <c r="H436" s="22">
        <v>2</v>
      </c>
      <c r="I436" s="9" t="s">
        <v>147</v>
      </c>
      <c r="J436" s="9" t="s">
        <v>35</v>
      </c>
      <c r="K436" s="9" t="s">
        <v>35</v>
      </c>
      <c r="L436" s="20">
        <v>0.5</v>
      </c>
      <c r="M436" s="14">
        <v>0.5</v>
      </c>
      <c r="V436" s="14" t="s">
        <v>441</v>
      </c>
      <c r="W436" s="14">
        <v>1</v>
      </c>
      <c r="AA436" s="14">
        <v>1</v>
      </c>
      <c r="AG436" s="14" t="s">
        <v>576</v>
      </c>
    </row>
    <row r="437" spans="1:34" x14ac:dyDescent="0.25">
      <c r="A437" s="3" t="s">
        <v>574</v>
      </c>
      <c r="C437" s="3">
        <v>1</v>
      </c>
      <c r="D437" s="4">
        <v>42037</v>
      </c>
      <c r="E437" s="5">
        <v>43328</v>
      </c>
      <c r="F437" s="25" t="str">
        <f t="shared" si="14"/>
        <v>42 : 14</v>
      </c>
      <c r="G437">
        <f t="shared" si="15"/>
        <v>1291</v>
      </c>
      <c r="H437" s="22">
        <v>2</v>
      </c>
      <c r="I437" s="9" t="s">
        <v>146</v>
      </c>
      <c r="J437" s="9" t="s">
        <v>32</v>
      </c>
      <c r="K437" s="9" t="s">
        <v>32</v>
      </c>
      <c r="L437" s="20">
        <v>0.5</v>
      </c>
      <c r="M437" s="14">
        <v>0.5</v>
      </c>
      <c r="N437" s="14"/>
      <c r="O437" s="14"/>
      <c r="P437" s="14"/>
      <c r="V437" s="14" t="s">
        <v>441</v>
      </c>
      <c r="W437" s="14">
        <v>1</v>
      </c>
      <c r="AA437" s="14">
        <v>1</v>
      </c>
      <c r="AD437" s="14"/>
      <c r="AE437" s="14"/>
      <c r="AG437" s="14" t="s">
        <v>577</v>
      </c>
    </row>
    <row r="438" spans="1:34" x14ac:dyDescent="0.25">
      <c r="A438" s="3" t="s">
        <v>574</v>
      </c>
      <c r="C438" s="3">
        <v>1</v>
      </c>
      <c r="D438" s="4">
        <v>42037</v>
      </c>
      <c r="E438" s="5">
        <v>43328</v>
      </c>
      <c r="F438" s="25" t="str">
        <f t="shared" si="14"/>
        <v>42 : 14</v>
      </c>
      <c r="G438">
        <f t="shared" si="15"/>
        <v>1291</v>
      </c>
      <c r="H438" s="22">
        <v>2</v>
      </c>
      <c r="I438" s="9" t="s">
        <v>145</v>
      </c>
      <c r="J438" s="9" t="s">
        <v>35</v>
      </c>
      <c r="K438" s="9" t="s">
        <v>33</v>
      </c>
      <c r="L438" s="20">
        <v>-0.5</v>
      </c>
      <c r="M438" s="14">
        <v>-0.5</v>
      </c>
      <c r="N438" s="14"/>
      <c r="O438" s="14"/>
      <c r="P438" s="14"/>
      <c r="S438">
        <v>0</v>
      </c>
      <c r="T438" s="14">
        <v>1</v>
      </c>
      <c r="U438" s="14"/>
      <c r="AD438" s="14">
        <v>0</v>
      </c>
      <c r="AE438" s="14">
        <v>1</v>
      </c>
      <c r="AF438" t="s">
        <v>578</v>
      </c>
      <c r="AG438" s="14" t="s">
        <v>579</v>
      </c>
    </row>
    <row r="439" spans="1:34" x14ac:dyDescent="0.25">
      <c r="A439" s="3" t="s">
        <v>574</v>
      </c>
      <c r="C439" s="3">
        <v>1</v>
      </c>
      <c r="D439" s="4">
        <v>42037</v>
      </c>
      <c r="E439" s="5">
        <v>43328</v>
      </c>
      <c r="F439" s="25" t="str">
        <f t="shared" si="14"/>
        <v>42 : 14</v>
      </c>
      <c r="G439">
        <f t="shared" si="15"/>
        <v>1291</v>
      </c>
      <c r="H439" s="22">
        <v>2</v>
      </c>
      <c r="I439" s="9" t="s">
        <v>143</v>
      </c>
      <c r="J439" s="9" t="s">
        <v>40</v>
      </c>
      <c r="K439" s="9" t="s">
        <v>39</v>
      </c>
      <c r="L439" s="20">
        <v>0.5</v>
      </c>
      <c r="M439" s="14">
        <v>-0.5</v>
      </c>
      <c r="N439" s="14"/>
      <c r="O439" s="14"/>
      <c r="P439" s="14"/>
      <c r="AD439" s="14">
        <v>0</v>
      </c>
      <c r="AE439" s="14">
        <v>0</v>
      </c>
      <c r="AF439" t="s">
        <v>580</v>
      </c>
      <c r="AG439" t="s">
        <v>581</v>
      </c>
      <c r="AH439" t="s">
        <v>582</v>
      </c>
    </row>
    <row r="440" spans="1:34" x14ac:dyDescent="0.25">
      <c r="A440" s="3" t="s">
        <v>574</v>
      </c>
      <c r="C440" s="3">
        <v>1</v>
      </c>
      <c r="D440" s="4">
        <v>42037</v>
      </c>
      <c r="E440" s="5">
        <v>43328</v>
      </c>
      <c r="F440" s="25" t="str">
        <f t="shared" si="14"/>
        <v>42 : 14</v>
      </c>
      <c r="G440">
        <f t="shared" si="15"/>
        <v>1291</v>
      </c>
      <c r="H440" s="22">
        <v>2</v>
      </c>
      <c r="I440" s="9" t="s">
        <v>158</v>
      </c>
      <c r="J440" s="9" t="s">
        <v>39</v>
      </c>
      <c r="K440" s="9" t="s">
        <v>39</v>
      </c>
      <c r="L440" s="20">
        <v>-0.5</v>
      </c>
      <c r="M440" s="14">
        <v>0.5</v>
      </c>
      <c r="N440" s="14"/>
      <c r="O440" s="14"/>
      <c r="P440" s="14"/>
      <c r="AD440" s="14">
        <v>0</v>
      </c>
      <c r="AE440" s="14">
        <v>1</v>
      </c>
      <c r="AG440" t="s">
        <v>583</v>
      </c>
    </row>
    <row r="441" spans="1:34" x14ac:dyDescent="0.25">
      <c r="A441" s="3" t="s">
        <v>574</v>
      </c>
      <c r="C441" s="3">
        <v>1</v>
      </c>
      <c r="D441" s="4">
        <v>42037</v>
      </c>
      <c r="E441" s="5">
        <v>43328</v>
      </c>
      <c r="F441" s="25" t="str">
        <f t="shared" si="14"/>
        <v>42 : 14</v>
      </c>
      <c r="G441">
        <f t="shared" si="15"/>
        <v>1291</v>
      </c>
      <c r="H441" s="22">
        <v>2</v>
      </c>
      <c r="I441" s="9" t="s">
        <v>157</v>
      </c>
      <c r="J441" s="9" t="s">
        <v>32</v>
      </c>
      <c r="K441" s="9" t="s">
        <v>35</v>
      </c>
      <c r="L441" s="20">
        <v>-0.5</v>
      </c>
      <c r="M441" s="14">
        <v>-0.5</v>
      </c>
      <c r="N441" s="14"/>
      <c r="O441" s="14"/>
      <c r="P441" s="14"/>
      <c r="V441" t="s">
        <v>441</v>
      </c>
      <c r="W441">
        <v>1</v>
      </c>
      <c r="AA441">
        <v>1</v>
      </c>
      <c r="AD441" s="14"/>
      <c r="AE441" s="14"/>
      <c r="AG441" t="s">
        <v>584</v>
      </c>
    </row>
    <row r="442" spans="1:34" x14ac:dyDescent="0.25">
      <c r="A442" s="3" t="s">
        <v>574</v>
      </c>
      <c r="C442" s="3">
        <v>1</v>
      </c>
      <c r="D442" s="4">
        <v>42037</v>
      </c>
      <c r="E442" s="5">
        <v>43328</v>
      </c>
      <c r="F442" s="25" t="str">
        <f t="shared" si="14"/>
        <v>42 : 14</v>
      </c>
      <c r="G442">
        <f t="shared" si="15"/>
        <v>1291</v>
      </c>
      <c r="H442" s="22">
        <v>2</v>
      </c>
      <c r="I442" s="9" t="s">
        <v>156</v>
      </c>
      <c r="J442" s="9" t="s">
        <v>30</v>
      </c>
      <c r="K442" s="9" t="s">
        <v>40</v>
      </c>
      <c r="L442" s="20">
        <v>0.5</v>
      </c>
      <c r="M442" s="14">
        <v>-0.5</v>
      </c>
      <c r="N442" s="14"/>
      <c r="O442" s="14"/>
      <c r="P442" s="14"/>
      <c r="AD442" s="14">
        <v>0</v>
      </c>
      <c r="AE442" s="14">
        <v>0</v>
      </c>
      <c r="AG442" t="s">
        <v>53</v>
      </c>
    </row>
    <row r="443" spans="1:34" x14ac:dyDescent="0.25">
      <c r="A443" s="3" t="s">
        <v>574</v>
      </c>
      <c r="C443" s="3">
        <v>1</v>
      </c>
      <c r="D443" s="4">
        <v>42037</v>
      </c>
      <c r="E443" s="5">
        <v>43328</v>
      </c>
      <c r="F443" s="25" t="str">
        <f t="shared" si="14"/>
        <v>42 : 14</v>
      </c>
      <c r="G443">
        <f t="shared" si="15"/>
        <v>1291</v>
      </c>
      <c r="H443" s="22">
        <v>2</v>
      </c>
      <c r="I443" s="9" t="s">
        <v>155</v>
      </c>
      <c r="J443" s="9" t="s">
        <v>33</v>
      </c>
      <c r="K443" s="9" t="s">
        <v>33</v>
      </c>
      <c r="L443" s="20">
        <v>0.5</v>
      </c>
      <c r="M443" s="14">
        <v>0.5</v>
      </c>
      <c r="N443" s="14"/>
      <c r="O443" s="14"/>
      <c r="P443" s="14"/>
      <c r="AD443" s="14">
        <v>0</v>
      </c>
      <c r="AE443" s="14">
        <v>0</v>
      </c>
      <c r="AG443" t="s">
        <v>123</v>
      </c>
    </row>
    <row r="444" spans="1:34" x14ac:dyDescent="0.25">
      <c r="A444" s="3" t="s">
        <v>574</v>
      </c>
      <c r="C444" s="3">
        <v>1</v>
      </c>
      <c r="D444" s="4">
        <v>42037</v>
      </c>
      <c r="E444" s="5">
        <v>43328</v>
      </c>
      <c r="F444" s="25" t="str">
        <f t="shared" si="14"/>
        <v>42 : 14</v>
      </c>
      <c r="G444">
        <f t="shared" si="15"/>
        <v>1291</v>
      </c>
      <c r="H444" s="22">
        <v>2</v>
      </c>
      <c r="I444" s="9" t="s">
        <v>154</v>
      </c>
      <c r="J444" s="9" t="s">
        <v>40</v>
      </c>
      <c r="K444" s="9" t="s">
        <v>40</v>
      </c>
      <c r="L444" s="20">
        <v>-0.5</v>
      </c>
      <c r="M444" s="14">
        <v>0.5</v>
      </c>
      <c r="N444" s="14"/>
      <c r="O444" s="14"/>
      <c r="P444" s="14"/>
      <c r="AD444" s="14">
        <v>0</v>
      </c>
      <c r="AE444" s="14">
        <v>1</v>
      </c>
      <c r="AG444" t="s">
        <v>585</v>
      </c>
    </row>
    <row r="445" spans="1:34" x14ac:dyDescent="0.25">
      <c r="A445" s="3" t="s">
        <v>574</v>
      </c>
      <c r="C445" s="3">
        <v>1</v>
      </c>
      <c r="D445" s="4">
        <v>42037</v>
      </c>
      <c r="E445" s="5">
        <v>43328</v>
      </c>
      <c r="F445" s="25" t="str">
        <f t="shared" si="14"/>
        <v>42 : 14</v>
      </c>
      <c r="G445">
        <f t="shared" si="15"/>
        <v>1291</v>
      </c>
      <c r="H445" s="22">
        <v>2</v>
      </c>
      <c r="I445" s="9" t="s">
        <v>153</v>
      </c>
      <c r="J445" s="9" t="s">
        <v>39</v>
      </c>
      <c r="K445" s="9" t="s">
        <v>30</v>
      </c>
      <c r="L445" s="20">
        <v>0.5</v>
      </c>
      <c r="M445" s="14">
        <v>-0.5</v>
      </c>
      <c r="N445" s="14"/>
      <c r="O445" s="14"/>
      <c r="P445" s="14"/>
      <c r="AD445" s="14">
        <v>0</v>
      </c>
      <c r="AE445" s="14">
        <v>0</v>
      </c>
      <c r="AG445" t="s">
        <v>586</v>
      </c>
    </row>
    <row r="446" spans="1:34" x14ac:dyDescent="0.25">
      <c r="A446" s="3" t="s">
        <v>587</v>
      </c>
      <c r="C446" s="3">
        <v>1</v>
      </c>
      <c r="D446" s="4">
        <v>42049</v>
      </c>
      <c r="E446" s="5">
        <v>43349</v>
      </c>
      <c r="F446" s="25" t="str">
        <f t="shared" si="14"/>
        <v>42 : 23</v>
      </c>
      <c r="G446">
        <f t="shared" si="15"/>
        <v>1300</v>
      </c>
      <c r="H446" s="9">
        <v>5</v>
      </c>
      <c r="I446" s="9">
        <v>6</v>
      </c>
      <c r="J446" s="9" t="s">
        <v>39</v>
      </c>
      <c r="K446" s="9" t="s">
        <v>40</v>
      </c>
      <c r="L446" s="20">
        <v>0.5</v>
      </c>
      <c r="M446" s="14">
        <v>-0.5</v>
      </c>
      <c r="N446" s="14"/>
      <c r="O446" s="14"/>
      <c r="P446" s="14"/>
      <c r="AA446">
        <v>1</v>
      </c>
      <c r="AD446" s="6"/>
      <c r="AE446" s="6"/>
      <c r="AF446" t="s">
        <v>588</v>
      </c>
      <c r="AG446" t="s">
        <v>589</v>
      </c>
    </row>
    <row r="447" spans="1:34" x14ac:dyDescent="0.25">
      <c r="A447" s="3" t="s">
        <v>587</v>
      </c>
      <c r="C447" s="3">
        <v>1</v>
      </c>
      <c r="D447" s="4">
        <v>42049</v>
      </c>
      <c r="E447" s="5">
        <v>43349</v>
      </c>
      <c r="F447" s="25" t="str">
        <f t="shared" si="14"/>
        <v>42 : 23</v>
      </c>
      <c r="G447">
        <f t="shared" si="15"/>
        <v>1300</v>
      </c>
      <c r="H447" s="9">
        <v>5</v>
      </c>
      <c r="I447" s="9">
        <v>5</v>
      </c>
      <c r="J447" s="9" t="s">
        <v>33</v>
      </c>
      <c r="K447" s="9" t="s">
        <v>35</v>
      </c>
      <c r="L447" s="20">
        <v>-0.5</v>
      </c>
      <c r="M447" s="14">
        <v>-0.5</v>
      </c>
      <c r="N447" s="14"/>
      <c r="O447" s="14"/>
      <c r="P447" s="14"/>
      <c r="R447">
        <v>1</v>
      </c>
      <c r="AD447" s="14">
        <v>0</v>
      </c>
      <c r="AE447" s="14">
        <v>1</v>
      </c>
      <c r="AG447" t="s">
        <v>590</v>
      </c>
    </row>
    <row r="448" spans="1:34" x14ac:dyDescent="0.25">
      <c r="A448" s="3" t="s">
        <v>587</v>
      </c>
      <c r="C448" s="3">
        <v>1</v>
      </c>
      <c r="D448" s="4">
        <v>42049</v>
      </c>
      <c r="E448" s="5">
        <v>43349</v>
      </c>
      <c r="F448" s="25" t="str">
        <f t="shared" si="14"/>
        <v>42 : 23</v>
      </c>
      <c r="G448">
        <f t="shared" si="15"/>
        <v>1300</v>
      </c>
      <c r="H448" s="9">
        <v>5</v>
      </c>
      <c r="I448" s="9">
        <v>4</v>
      </c>
      <c r="J448" s="9" t="s">
        <v>32</v>
      </c>
      <c r="K448" s="9" t="s">
        <v>32</v>
      </c>
      <c r="L448" s="20">
        <v>0.5</v>
      </c>
      <c r="M448" s="14">
        <v>0.5</v>
      </c>
      <c r="N448" s="14"/>
      <c r="O448" s="14"/>
      <c r="P448" s="14"/>
      <c r="AD448" s="14">
        <v>1</v>
      </c>
      <c r="AE448">
        <v>1</v>
      </c>
      <c r="AF448" t="s">
        <v>591</v>
      </c>
      <c r="AG448" t="s">
        <v>592</v>
      </c>
      <c r="AH448" t="s">
        <v>593</v>
      </c>
    </row>
    <row r="449" spans="1:33" x14ac:dyDescent="0.25">
      <c r="A449" s="3" t="s">
        <v>587</v>
      </c>
      <c r="C449" s="3">
        <v>1</v>
      </c>
      <c r="D449" s="4">
        <v>42049</v>
      </c>
      <c r="E449" s="5">
        <v>43349</v>
      </c>
      <c r="F449" s="25" t="str">
        <f t="shared" si="14"/>
        <v>42 : 23</v>
      </c>
      <c r="G449">
        <f t="shared" si="15"/>
        <v>1300</v>
      </c>
      <c r="H449" s="9">
        <v>5</v>
      </c>
      <c r="I449" s="9">
        <v>3</v>
      </c>
      <c r="J449" s="9" t="s">
        <v>35</v>
      </c>
      <c r="K449" s="9" t="s">
        <v>35</v>
      </c>
      <c r="L449" s="20">
        <v>0.5</v>
      </c>
      <c r="M449" s="14">
        <v>0.5</v>
      </c>
      <c r="N449" s="14"/>
      <c r="O449" s="14"/>
      <c r="P449" s="14"/>
      <c r="T449" s="14">
        <v>1</v>
      </c>
      <c r="U449" s="14"/>
      <c r="AD449" s="14">
        <v>0</v>
      </c>
      <c r="AE449" s="14">
        <v>0</v>
      </c>
      <c r="AG449" t="s">
        <v>594</v>
      </c>
    </row>
    <row r="450" spans="1:33" x14ac:dyDescent="0.25">
      <c r="A450" s="3" t="s">
        <v>587</v>
      </c>
      <c r="C450" s="3">
        <v>1</v>
      </c>
      <c r="D450" s="4">
        <v>42049</v>
      </c>
      <c r="E450" s="5">
        <v>43349</v>
      </c>
      <c r="F450" s="25" t="str">
        <f t="shared" si="14"/>
        <v>42 : 23</v>
      </c>
      <c r="G450">
        <f t="shared" si="15"/>
        <v>1300</v>
      </c>
      <c r="H450" s="9">
        <v>5</v>
      </c>
      <c r="I450" s="9">
        <v>2</v>
      </c>
      <c r="J450" s="9" t="s">
        <v>32</v>
      </c>
      <c r="K450" s="9" t="s">
        <v>33</v>
      </c>
      <c r="L450" s="20">
        <v>-0.5</v>
      </c>
      <c r="M450" s="14">
        <v>-0.5</v>
      </c>
      <c r="N450" s="14"/>
      <c r="O450" s="14"/>
      <c r="P450" s="14"/>
      <c r="Q450">
        <v>1</v>
      </c>
      <c r="AD450" s="14">
        <v>1</v>
      </c>
      <c r="AE450" s="14">
        <v>0</v>
      </c>
      <c r="AF450" t="s">
        <v>595</v>
      </c>
      <c r="AG450" t="s">
        <v>596</v>
      </c>
    </row>
    <row r="451" spans="1:33" x14ac:dyDescent="0.25">
      <c r="A451" s="3" t="s">
        <v>587</v>
      </c>
      <c r="C451" s="3">
        <v>1</v>
      </c>
      <c r="D451" s="4">
        <v>42049</v>
      </c>
      <c r="E451" s="5">
        <v>43349</v>
      </c>
      <c r="F451" s="25" t="str">
        <f t="shared" si="14"/>
        <v>42 : 23</v>
      </c>
      <c r="G451">
        <f t="shared" si="15"/>
        <v>1300</v>
      </c>
      <c r="H451" s="9">
        <v>5</v>
      </c>
      <c r="I451" s="9">
        <v>1</v>
      </c>
      <c r="J451" s="9" t="s">
        <v>30</v>
      </c>
      <c r="K451" s="9" t="s">
        <v>30</v>
      </c>
      <c r="L451" s="20">
        <v>-0.5</v>
      </c>
      <c r="M451" s="14">
        <v>0.5</v>
      </c>
      <c r="N451" s="14"/>
      <c r="O451" s="14"/>
      <c r="P451" s="14"/>
      <c r="AD451" s="14">
        <v>0</v>
      </c>
      <c r="AE451" s="14">
        <v>1</v>
      </c>
      <c r="AG451" t="s">
        <v>597</v>
      </c>
    </row>
    <row r="452" spans="1:33" x14ac:dyDescent="0.25">
      <c r="A452" s="3" t="s">
        <v>587</v>
      </c>
      <c r="C452" s="3">
        <v>1</v>
      </c>
      <c r="D452" s="4">
        <v>42049</v>
      </c>
      <c r="E452" s="5">
        <v>43349</v>
      </c>
      <c r="F452" s="25" t="str">
        <f t="shared" si="14"/>
        <v>42 : 23</v>
      </c>
      <c r="G452">
        <f t="shared" si="15"/>
        <v>1300</v>
      </c>
      <c r="H452" s="9">
        <v>5</v>
      </c>
      <c r="I452" s="9">
        <v>12</v>
      </c>
      <c r="J452" s="9" t="s">
        <v>30</v>
      </c>
      <c r="K452" s="9" t="s">
        <v>39</v>
      </c>
      <c r="L452" s="20">
        <v>0.5</v>
      </c>
      <c r="M452" s="14">
        <v>-0.5</v>
      </c>
      <c r="N452" s="14"/>
      <c r="O452" s="14"/>
      <c r="P452" s="14"/>
      <c r="AD452" s="14">
        <v>1</v>
      </c>
      <c r="AE452" s="14">
        <v>1</v>
      </c>
      <c r="AG452" t="s">
        <v>598</v>
      </c>
    </row>
    <row r="453" spans="1:33" x14ac:dyDescent="0.25">
      <c r="A453" s="3" t="s">
        <v>587</v>
      </c>
      <c r="C453" s="3">
        <v>1</v>
      </c>
      <c r="D453" s="4">
        <v>42049</v>
      </c>
      <c r="E453" s="5">
        <v>43349</v>
      </c>
      <c r="F453" s="25" t="str">
        <f t="shared" si="14"/>
        <v>42 : 23</v>
      </c>
      <c r="G453">
        <f t="shared" si="15"/>
        <v>1300</v>
      </c>
      <c r="H453" s="9">
        <v>5</v>
      </c>
      <c r="I453" s="9">
        <v>11</v>
      </c>
      <c r="J453" s="9" t="s">
        <v>40</v>
      </c>
      <c r="K453" s="9" t="s">
        <v>40</v>
      </c>
      <c r="L453" s="20">
        <v>-0.5</v>
      </c>
      <c r="M453" s="14">
        <v>0.5</v>
      </c>
      <c r="N453" s="14"/>
      <c r="O453" s="14"/>
      <c r="P453" s="14"/>
      <c r="Q453">
        <v>1</v>
      </c>
      <c r="S453">
        <v>0</v>
      </c>
      <c r="AD453" s="14">
        <v>0</v>
      </c>
      <c r="AE453" s="14">
        <v>1</v>
      </c>
      <c r="AF453" t="s">
        <v>599</v>
      </c>
      <c r="AG453" t="s">
        <v>600</v>
      </c>
    </row>
    <row r="454" spans="1:33" x14ac:dyDescent="0.25">
      <c r="A454" s="3" t="s">
        <v>587</v>
      </c>
      <c r="C454" s="3">
        <v>1</v>
      </c>
      <c r="D454" s="4">
        <v>42049</v>
      </c>
      <c r="E454" s="5">
        <v>43349</v>
      </c>
      <c r="F454" s="25" t="str">
        <f t="shared" si="14"/>
        <v>42 : 23</v>
      </c>
      <c r="G454">
        <f t="shared" si="15"/>
        <v>1300</v>
      </c>
      <c r="H454" s="9">
        <v>5</v>
      </c>
      <c r="I454" s="9">
        <v>10</v>
      </c>
      <c r="J454" s="9" t="s">
        <v>33</v>
      </c>
      <c r="K454" s="9" t="s">
        <v>33</v>
      </c>
      <c r="L454" s="20">
        <v>0.5</v>
      </c>
      <c r="M454" s="14">
        <v>0.5</v>
      </c>
      <c r="N454" s="14"/>
      <c r="O454" s="14"/>
      <c r="P454" s="14"/>
      <c r="S454">
        <v>0</v>
      </c>
      <c r="AD454" s="14">
        <v>0</v>
      </c>
      <c r="AE454" s="14">
        <v>0</v>
      </c>
      <c r="AF454" t="s">
        <v>601</v>
      </c>
    </row>
    <row r="455" spans="1:33" x14ac:dyDescent="0.25">
      <c r="A455" s="3" t="s">
        <v>587</v>
      </c>
      <c r="C455" s="3">
        <v>1</v>
      </c>
      <c r="D455" s="4">
        <v>42049</v>
      </c>
      <c r="E455" s="5">
        <v>43349</v>
      </c>
      <c r="F455" s="25" t="str">
        <f t="shared" si="14"/>
        <v>42 : 23</v>
      </c>
      <c r="G455">
        <f t="shared" si="15"/>
        <v>1300</v>
      </c>
      <c r="H455" s="9">
        <v>5</v>
      </c>
      <c r="I455" s="9">
        <v>9</v>
      </c>
      <c r="J455" s="9" t="s">
        <v>40</v>
      </c>
      <c r="K455" s="9" t="s">
        <v>30</v>
      </c>
      <c r="L455" s="20">
        <v>0.5</v>
      </c>
      <c r="M455" s="14">
        <v>-0.5</v>
      </c>
      <c r="N455" s="14"/>
      <c r="O455" s="14"/>
      <c r="P455" s="14"/>
      <c r="AD455" s="14">
        <v>0</v>
      </c>
      <c r="AE455" s="14">
        <v>0</v>
      </c>
      <c r="AG455" t="s">
        <v>602</v>
      </c>
    </row>
    <row r="456" spans="1:33" s="14" customFormat="1" x14ac:dyDescent="0.25">
      <c r="A456" s="10" t="s">
        <v>587</v>
      </c>
      <c r="B456" s="10"/>
      <c r="C456" s="10">
        <v>1</v>
      </c>
      <c r="D456" s="11">
        <v>42049</v>
      </c>
      <c r="E456" s="12">
        <v>43349</v>
      </c>
      <c r="F456" s="26" t="str">
        <f t="shared" si="14"/>
        <v>42 : 23</v>
      </c>
      <c r="G456" s="14">
        <f t="shared" si="15"/>
        <v>1300</v>
      </c>
      <c r="H456" s="9">
        <v>5</v>
      </c>
      <c r="I456" s="9">
        <v>8</v>
      </c>
      <c r="J456" s="9" t="s">
        <v>35</v>
      </c>
      <c r="K456" s="9" t="s">
        <v>32</v>
      </c>
      <c r="L456" s="20">
        <v>-0.5</v>
      </c>
      <c r="M456" s="14">
        <v>-0.5</v>
      </c>
      <c r="AD456" s="14">
        <v>1</v>
      </c>
      <c r="AE456" s="14">
        <v>0</v>
      </c>
      <c r="AG456" s="14" t="s">
        <v>603</v>
      </c>
    </row>
    <row r="457" spans="1:33" s="14" customFormat="1" x14ac:dyDescent="0.25">
      <c r="A457" s="10" t="s">
        <v>587</v>
      </c>
      <c r="B457" s="10"/>
      <c r="C457" s="10">
        <v>1</v>
      </c>
      <c r="D457" s="11">
        <v>42049</v>
      </c>
      <c r="E457" s="12">
        <v>43349</v>
      </c>
      <c r="F457" s="26" t="str">
        <f t="shared" si="14"/>
        <v>42 : 23</v>
      </c>
      <c r="G457" s="14">
        <f t="shared" si="15"/>
        <v>1300</v>
      </c>
      <c r="H457" s="9">
        <v>5</v>
      </c>
      <c r="I457" s="9">
        <v>7</v>
      </c>
      <c r="J457" s="9" t="s">
        <v>39</v>
      </c>
      <c r="K457" s="9" t="s">
        <v>39</v>
      </c>
      <c r="L457" s="20">
        <v>-0.5</v>
      </c>
      <c r="M457" s="14">
        <v>0.5</v>
      </c>
      <c r="AD457" s="14">
        <v>1</v>
      </c>
      <c r="AE457" s="14">
        <v>0</v>
      </c>
      <c r="AG457" s="14" t="s">
        <v>194</v>
      </c>
    </row>
    <row r="458" spans="1:33" s="14" customFormat="1" x14ac:dyDescent="0.25">
      <c r="A458" s="10" t="s">
        <v>604</v>
      </c>
      <c r="B458" s="10"/>
      <c r="C458" s="10">
        <v>1</v>
      </c>
      <c r="D458" s="11">
        <v>42060</v>
      </c>
      <c r="E458" s="12">
        <v>43353</v>
      </c>
      <c r="F458" s="26" t="str">
        <f t="shared" si="14"/>
        <v>42 : 16</v>
      </c>
      <c r="G458" s="14">
        <f t="shared" si="15"/>
        <v>1293</v>
      </c>
      <c r="H458" s="9">
        <v>7</v>
      </c>
      <c r="I458" s="9">
        <v>6</v>
      </c>
      <c r="J458" s="9" t="s">
        <v>39</v>
      </c>
      <c r="K458" s="9" t="s">
        <v>40</v>
      </c>
      <c r="L458" s="20">
        <v>-0.5</v>
      </c>
      <c r="M458" s="14">
        <v>-0.5</v>
      </c>
      <c r="AD458" s="14">
        <v>0</v>
      </c>
      <c r="AE458" s="14">
        <v>1</v>
      </c>
      <c r="AG458" s="14" t="s">
        <v>605</v>
      </c>
    </row>
    <row r="459" spans="1:33" s="14" customFormat="1" x14ac:dyDescent="0.25">
      <c r="A459" s="10" t="s">
        <v>604</v>
      </c>
      <c r="B459" s="10"/>
      <c r="C459" s="10">
        <v>1</v>
      </c>
      <c r="D459" s="11">
        <v>42060</v>
      </c>
      <c r="E459" s="12">
        <v>43353</v>
      </c>
      <c r="F459" s="26" t="str">
        <f t="shared" si="14"/>
        <v>42 : 16</v>
      </c>
      <c r="G459" s="14">
        <f t="shared" si="15"/>
        <v>1293</v>
      </c>
      <c r="H459" s="9">
        <v>7</v>
      </c>
      <c r="I459" s="9">
        <v>5</v>
      </c>
      <c r="J459" s="9" t="s">
        <v>33</v>
      </c>
      <c r="K459" s="9" t="s">
        <v>35</v>
      </c>
      <c r="L459" s="20">
        <v>0.5</v>
      </c>
      <c r="M459" s="14">
        <v>-0.5</v>
      </c>
      <c r="AD459" s="14">
        <v>0</v>
      </c>
      <c r="AE459" s="14">
        <v>0</v>
      </c>
      <c r="AG459" s="14" t="s">
        <v>38</v>
      </c>
    </row>
    <row r="460" spans="1:33" s="14" customFormat="1" x14ac:dyDescent="0.25">
      <c r="A460" s="10" t="s">
        <v>604</v>
      </c>
      <c r="B460" s="10"/>
      <c r="C460" s="10">
        <v>1</v>
      </c>
      <c r="D460" s="11">
        <v>42060</v>
      </c>
      <c r="E460" s="12">
        <v>43353</v>
      </c>
      <c r="F460" s="26" t="str">
        <f t="shared" si="14"/>
        <v>42 : 16</v>
      </c>
      <c r="G460" s="14">
        <f t="shared" si="15"/>
        <v>1293</v>
      </c>
      <c r="H460" s="9">
        <v>7</v>
      </c>
      <c r="I460" s="9">
        <v>4</v>
      </c>
      <c r="J460" s="9" t="s">
        <v>32</v>
      </c>
      <c r="K460" s="9" t="s">
        <v>32</v>
      </c>
      <c r="L460" s="20">
        <v>-0.5</v>
      </c>
      <c r="M460" s="14">
        <v>0.5</v>
      </c>
      <c r="AD460" s="14">
        <v>0</v>
      </c>
      <c r="AE460" s="14">
        <v>1</v>
      </c>
      <c r="AG460" s="14" t="s">
        <v>606</v>
      </c>
    </row>
    <row r="461" spans="1:33" s="14" customFormat="1" x14ac:dyDescent="0.25">
      <c r="A461" s="10" t="s">
        <v>604</v>
      </c>
      <c r="B461" s="10"/>
      <c r="C461" s="10">
        <v>1</v>
      </c>
      <c r="D461" s="11">
        <v>42060</v>
      </c>
      <c r="E461" s="12">
        <v>43353</v>
      </c>
      <c r="F461" s="26" t="str">
        <f t="shared" si="14"/>
        <v>42 : 16</v>
      </c>
      <c r="G461" s="14">
        <f t="shared" si="15"/>
        <v>1293</v>
      </c>
      <c r="H461" s="9">
        <v>7</v>
      </c>
      <c r="I461" s="9">
        <v>3</v>
      </c>
      <c r="J461" s="9" t="s">
        <v>35</v>
      </c>
      <c r="K461" s="9" t="s">
        <v>35</v>
      </c>
      <c r="L461" s="20">
        <v>-0.5</v>
      </c>
      <c r="M461" s="14">
        <v>0.5</v>
      </c>
      <c r="AD461" s="14">
        <v>0</v>
      </c>
      <c r="AE461" s="14">
        <v>1</v>
      </c>
      <c r="AG461" s="14" t="s">
        <v>45</v>
      </c>
    </row>
    <row r="462" spans="1:33" s="14" customFormat="1" x14ac:dyDescent="0.25">
      <c r="A462" s="10" t="s">
        <v>604</v>
      </c>
      <c r="B462" s="10"/>
      <c r="C462" s="10">
        <v>1</v>
      </c>
      <c r="D462" s="11">
        <v>42060</v>
      </c>
      <c r="E462" s="12">
        <v>43353</v>
      </c>
      <c r="F462" s="26" t="str">
        <f t="shared" si="14"/>
        <v>42 : 16</v>
      </c>
      <c r="G462" s="14">
        <f t="shared" si="15"/>
        <v>1293</v>
      </c>
      <c r="H462" s="9">
        <v>7</v>
      </c>
      <c r="I462" s="9">
        <v>2</v>
      </c>
      <c r="J462" s="9" t="s">
        <v>32</v>
      </c>
      <c r="K462" s="9" t="s">
        <v>33</v>
      </c>
      <c r="L462" s="20">
        <v>0.5</v>
      </c>
      <c r="M462" s="14">
        <v>-0.5</v>
      </c>
      <c r="V462" s="14" t="s">
        <v>197</v>
      </c>
      <c r="W462" s="14">
        <v>1</v>
      </c>
      <c r="AD462" s="14">
        <v>0</v>
      </c>
      <c r="AE462" s="14">
        <v>0</v>
      </c>
      <c r="AG462" s="14" t="s">
        <v>607</v>
      </c>
    </row>
    <row r="463" spans="1:33" s="14" customFormat="1" x14ac:dyDescent="0.25">
      <c r="A463" s="10" t="s">
        <v>604</v>
      </c>
      <c r="B463" s="10"/>
      <c r="C463" s="10">
        <v>1</v>
      </c>
      <c r="D463" s="11">
        <v>42060</v>
      </c>
      <c r="E463" s="12">
        <v>43353</v>
      </c>
      <c r="F463" s="26" t="str">
        <f t="shared" si="14"/>
        <v>42 : 16</v>
      </c>
      <c r="G463" s="14">
        <f t="shared" si="15"/>
        <v>1293</v>
      </c>
      <c r="H463" s="9">
        <v>7</v>
      </c>
      <c r="I463" s="9">
        <v>1</v>
      </c>
      <c r="J463" s="9" t="s">
        <v>30</v>
      </c>
      <c r="K463" s="9" t="s">
        <v>30</v>
      </c>
      <c r="L463" s="20">
        <v>0.5</v>
      </c>
      <c r="M463" s="14">
        <v>0.5</v>
      </c>
      <c r="AD463" s="14">
        <v>0</v>
      </c>
      <c r="AE463" s="14">
        <v>0</v>
      </c>
      <c r="AG463" s="14" t="s">
        <v>216</v>
      </c>
    </row>
    <row r="464" spans="1:33" s="14" customFormat="1" x14ac:dyDescent="0.25">
      <c r="A464" s="10" t="s">
        <v>604</v>
      </c>
      <c r="B464" s="10"/>
      <c r="C464" s="10">
        <v>1</v>
      </c>
      <c r="D464" s="11">
        <v>42060</v>
      </c>
      <c r="E464" s="12">
        <v>43353</v>
      </c>
      <c r="F464" s="26" t="str">
        <f t="shared" si="14"/>
        <v>42 : 16</v>
      </c>
      <c r="G464" s="14">
        <f t="shared" si="15"/>
        <v>1293</v>
      </c>
      <c r="H464" s="9">
        <v>7</v>
      </c>
      <c r="I464" s="9">
        <v>12</v>
      </c>
      <c r="J464" s="9" t="s">
        <v>30</v>
      </c>
      <c r="K464" s="9" t="s">
        <v>39</v>
      </c>
      <c r="L464" s="20">
        <v>-0.5</v>
      </c>
      <c r="M464" s="14">
        <v>-0.5</v>
      </c>
      <c r="AD464" s="14">
        <v>1</v>
      </c>
      <c r="AE464" s="14">
        <v>0</v>
      </c>
      <c r="AG464" s="14" t="s">
        <v>608</v>
      </c>
    </row>
    <row r="465" spans="1:34" s="14" customFormat="1" x14ac:dyDescent="0.25">
      <c r="A465" s="10" t="s">
        <v>604</v>
      </c>
      <c r="B465" s="10"/>
      <c r="C465" s="10">
        <v>1</v>
      </c>
      <c r="D465" s="11">
        <v>42060</v>
      </c>
      <c r="E465" s="12">
        <v>43353</v>
      </c>
      <c r="F465" s="26" t="str">
        <f t="shared" si="14"/>
        <v>42 : 16</v>
      </c>
      <c r="G465" s="14">
        <f t="shared" si="15"/>
        <v>1293</v>
      </c>
      <c r="H465" s="9">
        <v>7</v>
      </c>
      <c r="I465" s="9">
        <v>11</v>
      </c>
      <c r="J465" s="9" t="s">
        <v>40</v>
      </c>
      <c r="K465" s="9" t="s">
        <v>40</v>
      </c>
      <c r="L465" s="20">
        <v>0.5</v>
      </c>
      <c r="M465" s="14">
        <v>0.5</v>
      </c>
      <c r="AD465" s="14">
        <v>0</v>
      </c>
      <c r="AE465" s="14">
        <v>0</v>
      </c>
      <c r="AG465" s="14" t="s">
        <v>481</v>
      </c>
      <c r="AH465" s="14" t="s">
        <v>609</v>
      </c>
    </row>
    <row r="466" spans="1:34" s="14" customFormat="1" x14ac:dyDescent="0.25">
      <c r="A466" s="10" t="s">
        <v>604</v>
      </c>
      <c r="B466" s="10"/>
      <c r="C466" s="10">
        <v>1</v>
      </c>
      <c r="D466" s="11">
        <v>42060</v>
      </c>
      <c r="E466" s="12">
        <v>43353</v>
      </c>
      <c r="F466" s="26" t="str">
        <f t="shared" si="14"/>
        <v>42 : 16</v>
      </c>
      <c r="G466" s="14">
        <f t="shared" si="15"/>
        <v>1293</v>
      </c>
      <c r="H466" s="9">
        <v>7</v>
      </c>
      <c r="I466" s="9">
        <v>10</v>
      </c>
      <c r="J466" s="9" t="s">
        <v>33</v>
      </c>
      <c r="K466" s="9" t="s">
        <v>33</v>
      </c>
      <c r="L466" s="20">
        <v>-0.5</v>
      </c>
      <c r="M466" s="14">
        <v>0.5</v>
      </c>
      <c r="AD466" s="14">
        <v>0</v>
      </c>
      <c r="AE466" s="14">
        <v>1</v>
      </c>
      <c r="AG466" s="14" t="s">
        <v>45</v>
      </c>
    </row>
    <row r="467" spans="1:34" s="14" customFormat="1" x14ac:dyDescent="0.25">
      <c r="A467" s="10" t="s">
        <v>604</v>
      </c>
      <c r="B467" s="10"/>
      <c r="C467" s="10">
        <v>1</v>
      </c>
      <c r="D467" s="11">
        <v>42060</v>
      </c>
      <c r="E467" s="12">
        <v>43353</v>
      </c>
      <c r="F467" s="26" t="str">
        <f t="shared" si="14"/>
        <v>42 : 16</v>
      </c>
      <c r="G467" s="14">
        <f t="shared" si="15"/>
        <v>1293</v>
      </c>
      <c r="H467" s="9">
        <v>7</v>
      </c>
      <c r="I467" s="9">
        <v>9</v>
      </c>
      <c r="J467" s="9" t="s">
        <v>40</v>
      </c>
      <c r="K467" s="9" t="s">
        <v>30</v>
      </c>
      <c r="L467" s="20">
        <v>-0.5</v>
      </c>
      <c r="M467" s="14">
        <v>-0.5</v>
      </c>
      <c r="AD467" s="14">
        <v>0</v>
      </c>
      <c r="AE467" s="14">
        <v>1</v>
      </c>
      <c r="AG467" s="14" t="s">
        <v>610</v>
      </c>
    </row>
    <row r="468" spans="1:34" s="14" customFormat="1" x14ac:dyDescent="0.25">
      <c r="A468" s="10" t="s">
        <v>604</v>
      </c>
      <c r="B468" s="10"/>
      <c r="C468" s="10">
        <v>1</v>
      </c>
      <c r="D468" s="11">
        <v>42060</v>
      </c>
      <c r="E468" s="12">
        <v>43353</v>
      </c>
      <c r="F468" s="26" t="str">
        <f t="shared" si="14"/>
        <v>42 : 16</v>
      </c>
      <c r="G468" s="14">
        <f t="shared" si="15"/>
        <v>1293</v>
      </c>
      <c r="H468" s="9">
        <v>7</v>
      </c>
      <c r="I468" s="9">
        <v>8</v>
      </c>
      <c r="J468" s="9" t="s">
        <v>35</v>
      </c>
      <c r="K468" s="9" t="s">
        <v>32</v>
      </c>
      <c r="L468" s="20">
        <v>0.5</v>
      </c>
      <c r="M468" s="14">
        <v>-0.5</v>
      </c>
      <c r="S468" s="14">
        <v>0</v>
      </c>
      <c r="AD468" s="14">
        <v>0</v>
      </c>
      <c r="AE468" s="14">
        <v>0</v>
      </c>
      <c r="AF468" s="14" t="s">
        <v>611</v>
      </c>
      <c r="AG468" s="14" t="s">
        <v>612</v>
      </c>
    </row>
    <row r="469" spans="1:34" s="14" customFormat="1" x14ac:dyDescent="0.25">
      <c r="A469" s="10" t="s">
        <v>604</v>
      </c>
      <c r="B469" s="10"/>
      <c r="C469" s="10">
        <v>1</v>
      </c>
      <c r="D469" s="11">
        <v>42060</v>
      </c>
      <c r="E469" s="12">
        <v>43353</v>
      </c>
      <c r="F469" s="26" t="str">
        <f t="shared" si="14"/>
        <v>42 : 16</v>
      </c>
      <c r="G469" s="14">
        <f t="shared" si="15"/>
        <v>1293</v>
      </c>
      <c r="H469" s="9">
        <v>7</v>
      </c>
      <c r="I469" s="9">
        <v>7</v>
      </c>
      <c r="J469" s="9" t="s">
        <v>39</v>
      </c>
      <c r="K469" s="9" t="s">
        <v>39</v>
      </c>
      <c r="L469" s="20">
        <v>0.5</v>
      </c>
      <c r="M469" s="14">
        <v>0.5</v>
      </c>
      <c r="AD469" s="14">
        <v>0</v>
      </c>
      <c r="AE469" s="14">
        <v>0</v>
      </c>
      <c r="AG469" s="14" t="s">
        <v>67</v>
      </c>
    </row>
    <row r="470" spans="1:34" s="14" customFormat="1" x14ac:dyDescent="0.25">
      <c r="A470" s="10" t="s">
        <v>613</v>
      </c>
      <c r="B470" s="10"/>
      <c r="C470" s="10">
        <v>0</v>
      </c>
      <c r="D470" s="11">
        <v>42058</v>
      </c>
      <c r="E470" s="12">
        <v>43347</v>
      </c>
      <c r="F470" s="26" t="str">
        <f t="shared" si="14"/>
        <v>42 : 12</v>
      </c>
      <c r="G470" s="14">
        <f t="shared" si="15"/>
        <v>1289</v>
      </c>
      <c r="H470" s="22">
        <v>4</v>
      </c>
      <c r="I470" s="9" t="s">
        <v>97</v>
      </c>
      <c r="J470" s="9" t="s">
        <v>30</v>
      </c>
      <c r="K470" s="9" t="s">
        <v>30</v>
      </c>
      <c r="L470" s="20">
        <v>0.5</v>
      </c>
      <c r="M470" s="14">
        <v>0.5</v>
      </c>
      <c r="Z470" s="14">
        <v>1</v>
      </c>
      <c r="AA470" s="14">
        <v>1</v>
      </c>
      <c r="AF470" s="14" t="s">
        <v>614</v>
      </c>
      <c r="AG470" s="14" t="s">
        <v>132</v>
      </c>
      <c r="AH470" s="14" t="s">
        <v>615</v>
      </c>
    </row>
    <row r="471" spans="1:34" x14ac:dyDescent="0.25">
      <c r="A471" s="3" t="s">
        <v>613</v>
      </c>
      <c r="C471" s="3">
        <v>0</v>
      </c>
      <c r="D471" s="4">
        <v>42058</v>
      </c>
      <c r="E471" s="5">
        <v>43347</v>
      </c>
      <c r="F471" s="25" t="str">
        <f t="shared" si="14"/>
        <v>42 : 12</v>
      </c>
      <c r="G471">
        <f t="shared" si="15"/>
        <v>1289</v>
      </c>
      <c r="H471" s="22">
        <v>4</v>
      </c>
      <c r="I471" s="9" t="s">
        <v>99</v>
      </c>
      <c r="J471" s="9" t="s">
        <v>33</v>
      </c>
      <c r="K471" s="9" t="s">
        <v>32</v>
      </c>
      <c r="L471" s="20">
        <v>0.5</v>
      </c>
      <c r="M471" s="14">
        <v>-0.5</v>
      </c>
      <c r="N471" s="14"/>
      <c r="O471" s="14"/>
      <c r="P471" s="14"/>
      <c r="S471">
        <v>0</v>
      </c>
      <c r="Y471">
        <v>1</v>
      </c>
      <c r="AA471">
        <v>1</v>
      </c>
      <c r="AD471" s="14"/>
      <c r="AE471" s="14"/>
      <c r="AF471" t="s">
        <v>616</v>
      </c>
      <c r="AG471" s="14" t="s">
        <v>617</v>
      </c>
    </row>
    <row r="472" spans="1:34" x14ac:dyDescent="0.25">
      <c r="A472" s="3" t="s">
        <v>613</v>
      </c>
      <c r="C472" s="3">
        <v>0</v>
      </c>
      <c r="D472" s="4">
        <v>42058</v>
      </c>
      <c r="E472" s="5">
        <v>43347</v>
      </c>
      <c r="F472" s="25" t="str">
        <f t="shared" si="14"/>
        <v>42 : 12</v>
      </c>
      <c r="G472">
        <f t="shared" si="15"/>
        <v>1289</v>
      </c>
      <c r="H472" s="22">
        <v>4</v>
      </c>
      <c r="I472" s="9" t="s">
        <v>103</v>
      </c>
      <c r="J472" s="9" t="s">
        <v>35</v>
      </c>
      <c r="K472" s="9" t="s">
        <v>35</v>
      </c>
      <c r="L472" s="20">
        <v>-0.5</v>
      </c>
      <c r="M472" s="14">
        <v>0.5</v>
      </c>
      <c r="N472" s="14"/>
      <c r="O472" s="14"/>
      <c r="P472" s="14"/>
      <c r="Z472">
        <v>1</v>
      </c>
      <c r="AA472">
        <v>1</v>
      </c>
      <c r="AD472" s="14"/>
      <c r="AE472" s="14"/>
      <c r="AF472" t="s">
        <v>618</v>
      </c>
      <c r="AG472" s="14" t="s">
        <v>619</v>
      </c>
      <c r="AH472" t="s">
        <v>615</v>
      </c>
    </row>
    <row r="473" spans="1:34" x14ac:dyDescent="0.25">
      <c r="A473" s="3" t="s">
        <v>613</v>
      </c>
      <c r="C473" s="3">
        <v>0</v>
      </c>
      <c r="D473" s="4">
        <v>42058</v>
      </c>
      <c r="E473" s="5">
        <v>43347</v>
      </c>
      <c r="F473" s="25" t="str">
        <f t="shared" si="14"/>
        <v>42 : 12</v>
      </c>
      <c r="G473">
        <f t="shared" si="15"/>
        <v>1289</v>
      </c>
      <c r="H473" s="22">
        <v>4</v>
      </c>
      <c r="I473" s="9" t="s">
        <v>104</v>
      </c>
      <c r="J473" s="9" t="s">
        <v>32</v>
      </c>
      <c r="K473" s="9" t="s">
        <v>32</v>
      </c>
      <c r="L473" s="20">
        <v>-0.5</v>
      </c>
      <c r="M473" s="14">
        <v>0.5</v>
      </c>
      <c r="N473" s="14"/>
      <c r="O473" s="14"/>
      <c r="P473" s="14"/>
      <c r="Y473">
        <v>1</v>
      </c>
      <c r="Z473">
        <v>1</v>
      </c>
      <c r="AA473">
        <v>1</v>
      </c>
      <c r="AD473" s="14"/>
      <c r="AE473" s="14"/>
      <c r="AF473" t="s">
        <v>620</v>
      </c>
      <c r="AG473" s="14" t="s">
        <v>621</v>
      </c>
      <c r="AH473" t="s">
        <v>615</v>
      </c>
    </row>
    <row r="474" spans="1:34" x14ac:dyDescent="0.25">
      <c r="A474" s="3" t="s">
        <v>613</v>
      </c>
      <c r="C474" s="3">
        <v>0</v>
      </c>
      <c r="D474" s="4">
        <v>42058</v>
      </c>
      <c r="E474" s="5">
        <v>43347</v>
      </c>
      <c r="F474" s="25" t="str">
        <f t="shared" si="14"/>
        <v>42 : 12</v>
      </c>
      <c r="G474">
        <f t="shared" si="15"/>
        <v>1289</v>
      </c>
      <c r="H474" s="22">
        <v>4</v>
      </c>
      <c r="I474" s="9" t="s">
        <v>107</v>
      </c>
      <c r="J474" s="9" t="s">
        <v>35</v>
      </c>
      <c r="K474" s="9" t="s">
        <v>33</v>
      </c>
      <c r="L474" s="20">
        <v>0.5</v>
      </c>
      <c r="M474" s="14">
        <v>-0.5</v>
      </c>
      <c r="N474" s="14"/>
      <c r="O474" s="14"/>
      <c r="P474" s="14"/>
      <c r="V474" t="s">
        <v>197</v>
      </c>
      <c r="W474">
        <v>1</v>
      </c>
      <c r="AD474" s="14">
        <v>0</v>
      </c>
      <c r="AE474" s="14">
        <v>0</v>
      </c>
      <c r="AF474" t="s">
        <v>622</v>
      </c>
      <c r="AG474" s="14" t="s">
        <v>623</v>
      </c>
    </row>
    <row r="475" spans="1:34" x14ac:dyDescent="0.25">
      <c r="A475" s="3" t="s">
        <v>613</v>
      </c>
      <c r="C475" s="3">
        <v>0</v>
      </c>
      <c r="D475" s="4">
        <v>42058</v>
      </c>
      <c r="E475" s="5">
        <v>43347</v>
      </c>
      <c r="F475" s="25" t="str">
        <f t="shared" si="14"/>
        <v>42 : 12</v>
      </c>
      <c r="G475">
        <f t="shared" si="15"/>
        <v>1289</v>
      </c>
      <c r="H475" s="22">
        <v>4</v>
      </c>
      <c r="I475" s="9" t="s">
        <v>110</v>
      </c>
      <c r="J475" s="9" t="s">
        <v>40</v>
      </c>
      <c r="K475" s="9" t="s">
        <v>39</v>
      </c>
      <c r="L475" s="20">
        <v>-0.5</v>
      </c>
      <c r="M475" s="14">
        <v>-0.5</v>
      </c>
      <c r="N475" s="14"/>
      <c r="O475" s="14"/>
      <c r="P475" s="14"/>
      <c r="T475" s="14">
        <v>1</v>
      </c>
      <c r="U475" s="14"/>
      <c r="V475" t="s">
        <v>441</v>
      </c>
      <c r="W475">
        <v>1</v>
      </c>
      <c r="AA475">
        <v>1</v>
      </c>
      <c r="AD475" s="14"/>
      <c r="AE475" s="14"/>
      <c r="AF475" t="s">
        <v>624</v>
      </c>
      <c r="AG475" t="s">
        <v>625</v>
      </c>
    </row>
    <row r="476" spans="1:34" x14ac:dyDescent="0.25">
      <c r="A476" s="3" t="s">
        <v>613</v>
      </c>
      <c r="C476" s="3">
        <v>0</v>
      </c>
      <c r="D476" s="4">
        <v>42058</v>
      </c>
      <c r="E476" s="5">
        <v>43347</v>
      </c>
      <c r="F476" s="25" t="str">
        <f t="shared" si="14"/>
        <v>42 : 12</v>
      </c>
      <c r="G476">
        <f t="shared" si="15"/>
        <v>1289</v>
      </c>
      <c r="H476" s="22">
        <v>4</v>
      </c>
      <c r="I476" s="9" t="s">
        <v>113</v>
      </c>
      <c r="J476" s="9" t="s">
        <v>39</v>
      </c>
      <c r="K476" s="9" t="s">
        <v>39</v>
      </c>
      <c r="L476" s="20">
        <v>0.5</v>
      </c>
      <c r="M476" s="14">
        <v>0.5</v>
      </c>
      <c r="N476" s="14"/>
      <c r="O476" s="14"/>
      <c r="P476" s="14"/>
      <c r="V476" t="s">
        <v>197</v>
      </c>
      <c r="W476">
        <v>1</v>
      </c>
      <c r="Y476">
        <v>1</v>
      </c>
      <c r="AD476" s="14">
        <v>0</v>
      </c>
      <c r="AE476" s="14">
        <v>0</v>
      </c>
      <c r="AF476" t="s">
        <v>626</v>
      </c>
      <c r="AG476" t="s">
        <v>627</v>
      </c>
      <c r="AH476" t="s">
        <v>628</v>
      </c>
    </row>
    <row r="477" spans="1:34" x14ac:dyDescent="0.25">
      <c r="A477" s="3" t="s">
        <v>613</v>
      </c>
      <c r="C477" s="3">
        <v>0</v>
      </c>
      <c r="D477" s="4">
        <v>42058</v>
      </c>
      <c r="E477" s="5">
        <v>43347</v>
      </c>
      <c r="F477" s="25" t="str">
        <f t="shared" si="14"/>
        <v>42 : 12</v>
      </c>
      <c r="G477">
        <f t="shared" si="15"/>
        <v>1289</v>
      </c>
      <c r="H477" s="22">
        <v>4</v>
      </c>
      <c r="I477" s="9" t="s">
        <v>115</v>
      </c>
      <c r="J477" s="9" t="s">
        <v>32</v>
      </c>
      <c r="K477" s="9" t="s">
        <v>35</v>
      </c>
      <c r="L477" s="20">
        <v>0.5</v>
      </c>
      <c r="M477" s="14">
        <v>-0.5</v>
      </c>
      <c r="N477" s="14"/>
      <c r="O477" s="14"/>
      <c r="P477" s="14"/>
      <c r="V477" t="s">
        <v>197</v>
      </c>
      <c r="W477">
        <v>1</v>
      </c>
      <c r="Y477">
        <v>1</v>
      </c>
      <c r="AD477" s="14">
        <v>0</v>
      </c>
      <c r="AE477" s="14">
        <v>0</v>
      </c>
      <c r="AF477" t="s">
        <v>629</v>
      </c>
      <c r="AG477" t="s">
        <v>630</v>
      </c>
    </row>
    <row r="478" spans="1:34" x14ac:dyDescent="0.25">
      <c r="A478" s="3" t="s">
        <v>613</v>
      </c>
      <c r="C478" s="3">
        <v>0</v>
      </c>
      <c r="D478" s="4">
        <v>42058</v>
      </c>
      <c r="E478" s="5">
        <v>43347</v>
      </c>
      <c r="F478" s="25" t="str">
        <f t="shared" si="14"/>
        <v>42 : 12</v>
      </c>
      <c r="G478">
        <f t="shared" si="15"/>
        <v>1289</v>
      </c>
      <c r="H478" s="22">
        <v>4</v>
      </c>
      <c r="I478" s="9" t="s">
        <v>117</v>
      </c>
      <c r="J478" s="9" t="s">
        <v>30</v>
      </c>
      <c r="K478" s="9" t="s">
        <v>40</v>
      </c>
      <c r="L478" s="20">
        <v>-0.5</v>
      </c>
      <c r="M478" s="14">
        <v>-0.5</v>
      </c>
      <c r="N478" s="14"/>
      <c r="O478" s="14"/>
      <c r="P478" s="14"/>
      <c r="Y478">
        <v>1</v>
      </c>
      <c r="Z478">
        <v>1</v>
      </c>
      <c r="AA478">
        <v>1</v>
      </c>
      <c r="AD478" s="14"/>
      <c r="AE478" s="14"/>
      <c r="AF478" t="s">
        <v>631</v>
      </c>
      <c r="AG478" t="s">
        <v>632</v>
      </c>
    </row>
    <row r="479" spans="1:34" x14ac:dyDescent="0.25">
      <c r="A479" s="3" t="s">
        <v>613</v>
      </c>
      <c r="C479" s="3">
        <v>0</v>
      </c>
      <c r="D479" s="4">
        <v>42058</v>
      </c>
      <c r="E479" s="5">
        <v>43347</v>
      </c>
      <c r="F479" s="25" t="str">
        <f t="shared" si="14"/>
        <v>42 : 12</v>
      </c>
      <c r="G479">
        <f t="shared" si="15"/>
        <v>1289</v>
      </c>
      <c r="H479" s="22">
        <v>4</v>
      </c>
      <c r="I479" s="9" t="s">
        <v>121</v>
      </c>
      <c r="J479" s="9" t="s">
        <v>33</v>
      </c>
      <c r="K479" s="9" t="s">
        <v>33</v>
      </c>
      <c r="L479" s="20">
        <v>-0.5</v>
      </c>
      <c r="M479" s="14">
        <v>0.5</v>
      </c>
      <c r="N479" s="14"/>
      <c r="O479" s="14"/>
      <c r="P479" s="14"/>
      <c r="Y479">
        <v>1</v>
      </c>
      <c r="AD479" s="14">
        <v>0</v>
      </c>
      <c r="AE479" s="14">
        <v>1</v>
      </c>
      <c r="AF479" t="s">
        <v>633</v>
      </c>
      <c r="AG479" t="s">
        <v>634</v>
      </c>
    </row>
    <row r="480" spans="1:34" x14ac:dyDescent="0.25">
      <c r="A480" s="3" t="s">
        <v>613</v>
      </c>
      <c r="C480" s="3">
        <v>0</v>
      </c>
      <c r="D480" s="4">
        <v>42058</v>
      </c>
      <c r="E480" s="5">
        <v>43347</v>
      </c>
      <c r="F480" s="25" t="str">
        <f t="shared" si="14"/>
        <v>42 : 12</v>
      </c>
      <c r="G480">
        <f t="shared" si="15"/>
        <v>1289</v>
      </c>
      <c r="H480" s="22">
        <v>4</v>
      </c>
      <c r="I480" s="9" t="s">
        <v>124</v>
      </c>
      <c r="J480" s="9" t="s">
        <v>40</v>
      </c>
      <c r="K480" s="9" t="s">
        <v>40</v>
      </c>
      <c r="L480" s="20">
        <v>0.5</v>
      </c>
      <c r="M480" s="14">
        <v>0.5</v>
      </c>
      <c r="N480" s="14"/>
      <c r="O480" s="14"/>
      <c r="P480" s="14"/>
      <c r="AD480" s="14">
        <v>0</v>
      </c>
      <c r="AE480" s="14">
        <v>0</v>
      </c>
      <c r="AF480" t="s">
        <v>635</v>
      </c>
      <c r="AG480" t="s">
        <v>636</v>
      </c>
    </row>
    <row r="481" spans="1:34" s="14" customFormat="1" x14ac:dyDescent="0.25">
      <c r="A481" s="10" t="s">
        <v>613</v>
      </c>
      <c r="B481" s="10"/>
      <c r="C481" s="10">
        <v>0</v>
      </c>
      <c r="D481" s="11">
        <v>42058</v>
      </c>
      <c r="E481" s="12">
        <v>43347</v>
      </c>
      <c r="F481" s="26" t="str">
        <f t="shared" si="14"/>
        <v>42 : 12</v>
      </c>
      <c r="G481" s="14">
        <f t="shared" si="15"/>
        <v>1289</v>
      </c>
      <c r="H481" s="22">
        <v>4</v>
      </c>
      <c r="I481" s="9" t="s">
        <v>127</v>
      </c>
      <c r="J481" s="9" t="s">
        <v>39</v>
      </c>
      <c r="K481" s="9" t="s">
        <v>30</v>
      </c>
      <c r="L481" s="20">
        <v>-0.5</v>
      </c>
      <c r="M481" s="14">
        <v>-0.5</v>
      </c>
      <c r="R481" s="14">
        <v>1</v>
      </c>
      <c r="S481" s="14">
        <v>0</v>
      </c>
      <c r="Y481" s="14">
        <v>1</v>
      </c>
      <c r="AD481" s="14">
        <v>0</v>
      </c>
      <c r="AE481" s="14">
        <v>1</v>
      </c>
      <c r="AF481" s="14" t="s">
        <v>637</v>
      </c>
      <c r="AG481" s="14" t="s">
        <v>313</v>
      </c>
    </row>
    <row r="482" spans="1:34" s="14" customFormat="1" x14ac:dyDescent="0.25">
      <c r="A482" s="10" t="s">
        <v>638</v>
      </c>
      <c r="B482" s="10"/>
      <c r="C482" s="10">
        <v>0</v>
      </c>
      <c r="D482" s="11">
        <v>42076</v>
      </c>
      <c r="E482" s="12">
        <v>43378</v>
      </c>
      <c r="F482" s="26" t="str">
        <f t="shared" si="14"/>
        <v>42 : 22</v>
      </c>
      <c r="G482" s="14">
        <f t="shared" si="15"/>
        <v>1302</v>
      </c>
      <c r="H482" s="22">
        <v>2</v>
      </c>
      <c r="I482" s="9" t="s">
        <v>97</v>
      </c>
      <c r="J482" s="9" t="s">
        <v>30</v>
      </c>
      <c r="K482" s="9" t="s">
        <v>30</v>
      </c>
      <c r="L482" s="20">
        <v>-0.5</v>
      </c>
      <c r="M482" s="14">
        <v>0.5</v>
      </c>
      <c r="AD482" s="14">
        <v>0</v>
      </c>
      <c r="AE482" s="14">
        <v>1</v>
      </c>
      <c r="AG482" s="14" t="s">
        <v>274</v>
      </c>
    </row>
    <row r="483" spans="1:34" s="14" customFormat="1" x14ac:dyDescent="0.25">
      <c r="A483" s="10" t="s">
        <v>638</v>
      </c>
      <c r="B483" s="10"/>
      <c r="C483" s="10">
        <v>0</v>
      </c>
      <c r="D483" s="11">
        <v>42076</v>
      </c>
      <c r="E483" s="12">
        <v>43378</v>
      </c>
      <c r="F483" s="26" t="str">
        <f t="shared" si="14"/>
        <v>42 : 22</v>
      </c>
      <c r="G483" s="14">
        <f t="shared" si="15"/>
        <v>1302</v>
      </c>
      <c r="H483" s="22">
        <v>2</v>
      </c>
      <c r="I483" s="9" t="s">
        <v>148</v>
      </c>
      <c r="J483" s="9" t="s">
        <v>33</v>
      </c>
      <c r="K483" s="9" t="s">
        <v>32</v>
      </c>
      <c r="L483" s="20">
        <v>-0.5</v>
      </c>
      <c r="M483" s="14">
        <v>-0.5</v>
      </c>
      <c r="AD483" s="14">
        <v>0</v>
      </c>
      <c r="AE483" s="14">
        <v>1</v>
      </c>
      <c r="AG483" s="14" t="s">
        <v>639</v>
      </c>
    </row>
    <row r="484" spans="1:34" s="14" customFormat="1" x14ac:dyDescent="0.25">
      <c r="A484" s="10" t="s">
        <v>638</v>
      </c>
      <c r="B484" s="10"/>
      <c r="C484" s="10">
        <v>0</v>
      </c>
      <c r="D484" s="11">
        <v>42076</v>
      </c>
      <c r="E484" s="12">
        <v>43378</v>
      </c>
      <c r="F484" s="26" t="str">
        <f t="shared" si="14"/>
        <v>42 : 22</v>
      </c>
      <c r="G484" s="14">
        <f t="shared" si="15"/>
        <v>1302</v>
      </c>
      <c r="H484" s="22">
        <v>2</v>
      </c>
      <c r="I484" s="9" t="s">
        <v>147</v>
      </c>
      <c r="J484" s="9" t="s">
        <v>35</v>
      </c>
      <c r="K484" s="9" t="s">
        <v>35</v>
      </c>
      <c r="L484" s="20">
        <v>0.5</v>
      </c>
      <c r="M484" s="14">
        <v>0.5</v>
      </c>
      <c r="AD484" s="14">
        <v>0</v>
      </c>
      <c r="AE484" s="14">
        <v>0</v>
      </c>
      <c r="AG484" s="14" t="s">
        <v>602</v>
      </c>
    </row>
    <row r="485" spans="1:34" s="14" customFormat="1" x14ac:dyDescent="0.25">
      <c r="A485" s="10" t="s">
        <v>638</v>
      </c>
      <c r="B485" s="10"/>
      <c r="C485" s="10">
        <v>0</v>
      </c>
      <c r="D485" s="11">
        <v>42076</v>
      </c>
      <c r="E485" s="12">
        <v>43378</v>
      </c>
      <c r="F485" s="26" t="str">
        <f t="shared" si="14"/>
        <v>42 : 22</v>
      </c>
      <c r="G485" s="14">
        <f t="shared" si="15"/>
        <v>1302</v>
      </c>
      <c r="H485" s="22">
        <v>2</v>
      </c>
      <c r="I485" s="9" t="s">
        <v>146</v>
      </c>
      <c r="J485" s="9" t="s">
        <v>32</v>
      </c>
      <c r="K485" s="9" t="s">
        <v>32</v>
      </c>
      <c r="L485" s="20">
        <v>0.5</v>
      </c>
      <c r="M485" s="14">
        <v>0.5</v>
      </c>
      <c r="AD485" s="14">
        <v>1</v>
      </c>
      <c r="AE485" s="14">
        <v>1</v>
      </c>
      <c r="AG485" s="14" t="s">
        <v>640</v>
      </c>
    </row>
    <row r="486" spans="1:34" s="14" customFormat="1" x14ac:dyDescent="0.25">
      <c r="A486" s="10" t="s">
        <v>638</v>
      </c>
      <c r="B486" s="10"/>
      <c r="C486" s="10">
        <v>0</v>
      </c>
      <c r="D486" s="11">
        <v>42076</v>
      </c>
      <c r="E486" s="12">
        <v>43378</v>
      </c>
      <c r="F486" s="26" t="str">
        <f t="shared" si="14"/>
        <v>42 : 22</v>
      </c>
      <c r="G486" s="14">
        <f t="shared" si="15"/>
        <v>1302</v>
      </c>
      <c r="H486" s="22">
        <v>2</v>
      </c>
      <c r="I486" s="9" t="s">
        <v>145</v>
      </c>
      <c r="J486" s="9" t="s">
        <v>35</v>
      </c>
      <c r="K486" s="9" t="s">
        <v>33</v>
      </c>
      <c r="L486" s="20">
        <v>-0.5</v>
      </c>
      <c r="M486" s="14">
        <v>-0.5</v>
      </c>
      <c r="AD486" s="14">
        <v>0</v>
      </c>
      <c r="AE486" s="14">
        <v>1</v>
      </c>
      <c r="AG486" s="14" t="s">
        <v>641</v>
      </c>
    </row>
    <row r="487" spans="1:34" s="14" customFormat="1" x14ac:dyDescent="0.25">
      <c r="A487" s="10" t="s">
        <v>638</v>
      </c>
      <c r="B487" s="10"/>
      <c r="C487" s="10">
        <v>0</v>
      </c>
      <c r="D487" s="11">
        <v>42076</v>
      </c>
      <c r="E487" s="12">
        <v>43378</v>
      </c>
      <c r="F487" s="26" t="str">
        <f t="shared" si="14"/>
        <v>42 : 22</v>
      </c>
      <c r="G487" s="14">
        <f t="shared" si="15"/>
        <v>1302</v>
      </c>
      <c r="H487" s="22">
        <v>2</v>
      </c>
      <c r="I487" s="9" t="s">
        <v>143</v>
      </c>
      <c r="J487" s="9" t="s">
        <v>40</v>
      </c>
      <c r="K487" s="9" t="s">
        <v>39</v>
      </c>
      <c r="L487" s="20">
        <v>0.5</v>
      </c>
      <c r="M487" s="14">
        <v>-0.5</v>
      </c>
      <c r="AD487" s="14">
        <v>0</v>
      </c>
      <c r="AE487" s="14">
        <v>0</v>
      </c>
      <c r="AF487" s="14" t="s">
        <v>642</v>
      </c>
      <c r="AG487" s="14" t="s">
        <v>354</v>
      </c>
      <c r="AH487" s="14" t="s">
        <v>643</v>
      </c>
    </row>
    <row r="488" spans="1:34" s="14" customFormat="1" x14ac:dyDescent="0.25">
      <c r="A488" s="10" t="s">
        <v>638</v>
      </c>
      <c r="B488" s="10"/>
      <c r="C488" s="10">
        <v>0</v>
      </c>
      <c r="D488" s="11">
        <v>42076</v>
      </c>
      <c r="E488" s="12">
        <v>43378</v>
      </c>
      <c r="F488" s="26" t="str">
        <f t="shared" si="14"/>
        <v>42 : 22</v>
      </c>
      <c r="G488" s="14">
        <f t="shared" si="15"/>
        <v>1302</v>
      </c>
      <c r="H488" s="22">
        <v>2</v>
      </c>
      <c r="I488" s="9" t="s">
        <v>158</v>
      </c>
      <c r="J488" s="9" t="s">
        <v>39</v>
      </c>
      <c r="K488" s="9" t="s">
        <v>39</v>
      </c>
      <c r="L488" s="20">
        <v>-0.5</v>
      </c>
      <c r="M488" s="14">
        <v>0.5</v>
      </c>
      <c r="AD488" s="14">
        <v>0</v>
      </c>
      <c r="AE488" s="14">
        <v>1</v>
      </c>
      <c r="AG488" s="14" t="s">
        <v>644</v>
      </c>
    </row>
    <row r="489" spans="1:34" s="14" customFormat="1" x14ac:dyDescent="0.25">
      <c r="A489" s="10" t="s">
        <v>638</v>
      </c>
      <c r="B489" s="10"/>
      <c r="C489" s="10">
        <v>0</v>
      </c>
      <c r="D489" s="11">
        <v>42076</v>
      </c>
      <c r="E489" s="12">
        <v>43378</v>
      </c>
      <c r="F489" s="26" t="str">
        <f t="shared" si="14"/>
        <v>42 : 22</v>
      </c>
      <c r="G489" s="14">
        <f t="shared" si="15"/>
        <v>1302</v>
      </c>
      <c r="H489" s="22">
        <v>2</v>
      </c>
      <c r="I489" s="9" t="s">
        <v>157</v>
      </c>
      <c r="J489" s="9" t="s">
        <v>32</v>
      </c>
      <c r="K489" s="9" t="s">
        <v>35</v>
      </c>
      <c r="L489" s="20">
        <v>-0.5</v>
      </c>
      <c r="M489" s="14">
        <v>-0.5</v>
      </c>
      <c r="AD489" s="14">
        <v>0</v>
      </c>
      <c r="AE489" s="14">
        <v>1</v>
      </c>
      <c r="AG489" s="14" t="s">
        <v>217</v>
      </c>
    </row>
    <row r="490" spans="1:34" s="14" customFormat="1" x14ac:dyDescent="0.25">
      <c r="A490" s="10" t="s">
        <v>638</v>
      </c>
      <c r="B490" s="10"/>
      <c r="C490" s="10">
        <v>0</v>
      </c>
      <c r="D490" s="11">
        <v>42076</v>
      </c>
      <c r="E490" s="12">
        <v>43378</v>
      </c>
      <c r="F490" s="26" t="str">
        <f t="shared" ref="F490:F553" si="16">DATEDIF(D490,E490,"M")&amp;" : "&amp;DATEDIF(D490,E490,"MD")</f>
        <v>42 : 22</v>
      </c>
      <c r="G490" s="14">
        <f t="shared" ref="G490:G553" si="17">DATEDIF(D490,E490,"D")</f>
        <v>1302</v>
      </c>
      <c r="H490" s="22">
        <v>2</v>
      </c>
      <c r="I490" s="9" t="s">
        <v>156</v>
      </c>
      <c r="J490" s="9" t="s">
        <v>30</v>
      </c>
      <c r="K490" s="9" t="s">
        <v>40</v>
      </c>
      <c r="L490" s="20">
        <v>0.5</v>
      </c>
      <c r="M490" s="14">
        <v>-0.5</v>
      </c>
      <c r="AD490" s="14">
        <v>0</v>
      </c>
      <c r="AE490" s="14">
        <v>0</v>
      </c>
      <c r="AG490" s="14" t="s">
        <v>53</v>
      </c>
    </row>
    <row r="491" spans="1:34" s="14" customFormat="1" x14ac:dyDescent="0.25">
      <c r="A491" s="10" t="s">
        <v>638</v>
      </c>
      <c r="B491" s="10"/>
      <c r="C491" s="10">
        <v>0</v>
      </c>
      <c r="D491" s="11">
        <v>42076</v>
      </c>
      <c r="E491" s="12">
        <v>43378</v>
      </c>
      <c r="F491" s="26" t="str">
        <f t="shared" si="16"/>
        <v>42 : 22</v>
      </c>
      <c r="G491" s="14">
        <f t="shared" si="17"/>
        <v>1302</v>
      </c>
      <c r="H491" s="22">
        <v>2</v>
      </c>
      <c r="I491" s="9" t="s">
        <v>155</v>
      </c>
      <c r="J491" s="9" t="s">
        <v>33</v>
      </c>
      <c r="K491" s="9" t="s">
        <v>33</v>
      </c>
      <c r="L491" s="20">
        <v>0.5</v>
      </c>
      <c r="M491" s="14">
        <v>0.5</v>
      </c>
      <c r="AD491" s="14">
        <v>0</v>
      </c>
      <c r="AE491" s="14">
        <v>0</v>
      </c>
      <c r="AG491" s="14" t="s">
        <v>217</v>
      </c>
    </row>
    <row r="492" spans="1:34" s="14" customFormat="1" x14ac:dyDescent="0.25">
      <c r="A492" s="10" t="s">
        <v>638</v>
      </c>
      <c r="B492" s="10"/>
      <c r="C492" s="10">
        <v>0</v>
      </c>
      <c r="D492" s="11">
        <v>42076</v>
      </c>
      <c r="E492" s="12">
        <v>43378</v>
      </c>
      <c r="F492" s="26" t="str">
        <f t="shared" si="16"/>
        <v>42 : 22</v>
      </c>
      <c r="G492" s="14">
        <f t="shared" si="17"/>
        <v>1302</v>
      </c>
      <c r="H492" s="22">
        <v>2</v>
      </c>
      <c r="I492" s="9" t="s">
        <v>154</v>
      </c>
      <c r="J492" s="9" t="s">
        <v>40</v>
      </c>
      <c r="K492" s="9" t="s">
        <v>40</v>
      </c>
      <c r="L492" s="20">
        <v>-0.5</v>
      </c>
      <c r="M492" s="14">
        <v>0.5</v>
      </c>
      <c r="AD492" s="14">
        <v>0</v>
      </c>
      <c r="AE492" s="14">
        <v>1</v>
      </c>
      <c r="AG492" s="14" t="s">
        <v>645</v>
      </c>
    </row>
    <row r="493" spans="1:34" s="14" customFormat="1" x14ac:dyDescent="0.25">
      <c r="A493" s="10" t="s">
        <v>638</v>
      </c>
      <c r="B493" s="10"/>
      <c r="C493" s="10">
        <v>0</v>
      </c>
      <c r="D493" s="11">
        <v>42076</v>
      </c>
      <c r="E493" s="12">
        <v>43378</v>
      </c>
      <c r="F493" s="26" t="str">
        <f t="shared" si="16"/>
        <v>42 : 22</v>
      </c>
      <c r="G493" s="14">
        <f t="shared" si="17"/>
        <v>1302</v>
      </c>
      <c r="H493" s="22">
        <v>2</v>
      </c>
      <c r="I493" s="9" t="s">
        <v>153</v>
      </c>
      <c r="J493" s="9" t="s">
        <v>39</v>
      </c>
      <c r="K493" s="9" t="s">
        <v>30</v>
      </c>
      <c r="L493" s="20">
        <v>0.5</v>
      </c>
      <c r="M493" s="14">
        <v>-0.5</v>
      </c>
      <c r="AD493" s="14">
        <v>0</v>
      </c>
      <c r="AE493" s="14">
        <v>0</v>
      </c>
      <c r="AG493" s="14" t="s">
        <v>313</v>
      </c>
    </row>
    <row r="494" spans="1:34" s="14" customFormat="1" x14ac:dyDescent="0.25">
      <c r="A494" s="10" t="s">
        <v>646</v>
      </c>
      <c r="B494" s="10"/>
      <c r="C494" s="10">
        <v>1</v>
      </c>
      <c r="D494" s="11">
        <v>42077</v>
      </c>
      <c r="E494" s="12">
        <v>43392</v>
      </c>
      <c r="F494" s="26" t="str">
        <f t="shared" si="16"/>
        <v>43 : 5</v>
      </c>
      <c r="G494" s="14">
        <f t="shared" si="17"/>
        <v>1315</v>
      </c>
      <c r="H494" s="22">
        <v>4</v>
      </c>
      <c r="I494" s="9" t="s">
        <v>97</v>
      </c>
      <c r="J494" s="9" t="s">
        <v>30</v>
      </c>
      <c r="K494" s="9" t="s">
        <v>30</v>
      </c>
      <c r="L494" s="20">
        <v>0.5</v>
      </c>
      <c r="M494" s="14">
        <v>0.5</v>
      </c>
      <c r="Y494" s="14">
        <v>1</v>
      </c>
      <c r="Z494" s="14">
        <v>1</v>
      </c>
      <c r="AA494" s="14">
        <v>1</v>
      </c>
      <c r="AF494" s="14" t="s">
        <v>647</v>
      </c>
      <c r="AG494" s="14" t="s">
        <v>648</v>
      </c>
    </row>
    <row r="495" spans="1:34" s="14" customFormat="1" x14ac:dyDescent="0.25">
      <c r="A495" s="10" t="s">
        <v>646</v>
      </c>
      <c r="B495" s="10"/>
      <c r="C495" s="10">
        <v>1</v>
      </c>
      <c r="D495" s="11">
        <v>42077</v>
      </c>
      <c r="E495" s="12">
        <v>43392</v>
      </c>
      <c r="F495" s="26" t="str">
        <f t="shared" si="16"/>
        <v>43 : 5</v>
      </c>
      <c r="G495" s="14">
        <f t="shared" si="17"/>
        <v>1315</v>
      </c>
      <c r="H495" s="22">
        <v>4</v>
      </c>
      <c r="I495" s="9" t="s">
        <v>99</v>
      </c>
      <c r="J495" s="9" t="s">
        <v>33</v>
      </c>
      <c r="K495" s="9" t="s">
        <v>32</v>
      </c>
      <c r="L495" s="20">
        <v>0.5</v>
      </c>
      <c r="M495" s="14">
        <v>-0.5</v>
      </c>
      <c r="P495" s="14">
        <v>1</v>
      </c>
      <c r="Q495" s="14">
        <v>1</v>
      </c>
      <c r="Z495" s="14">
        <v>1</v>
      </c>
      <c r="AA495" s="14">
        <v>1</v>
      </c>
      <c r="AF495" s="14" t="s">
        <v>649</v>
      </c>
      <c r="AG495" s="14" t="s">
        <v>650</v>
      </c>
      <c r="AH495" s="14" t="s">
        <v>651</v>
      </c>
    </row>
    <row r="496" spans="1:34" s="14" customFormat="1" x14ac:dyDescent="0.25">
      <c r="A496" s="10" t="s">
        <v>646</v>
      </c>
      <c r="B496" s="10"/>
      <c r="C496" s="10">
        <v>1</v>
      </c>
      <c r="D496" s="11">
        <v>42077</v>
      </c>
      <c r="E496" s="12">
        <v>43392</v>
      </c>
      <c r="F496" s="26" t="str">
        <f t="shared" si="16"/>
        <v>43 : 5</v>
      </c>
      <c r="G496" s="14">
        <f t="shared" si="17"/>
        <v>1315</v>
      </c>
      <c r="H496" s="22">
        <v>4</v>
      </c>
      <c r="I496" s="9" t="s">
        <v>103</v>
      </c>
      <c r="J496" s="9" t="s">
        <v>35</v>
      </c>
      <c r="K496" s="9" t="s">
        <v>35</v>
      </c>
      <c r="L496" s="20">
        <v>-0.5</v>
      </c>
      <c r="M496" s="14">
        <v>0.5</v>
      </c>
      <c r="V496" s="14" t="s">
        <v>197</v>
      </c>
      <c r="W496" s="14">
        <v>1</v>
      </c>
      <c r="AD496" s="14">
        <v>0</v>
      </c>
      <c r="AE496" s="14">
        <v>1</v>
      </c>
      <c r="AG496" s="14" t="s">
        <v>652</v>
      </c>
    </row>
    <row r="497" spans="1:34" s="14" customFormat="1" x14ac:dyDescent="0.25">
      <c r="A497" s="10" t="s">
        <v>646</v>
      </c>
      <c r="B497" s="10"/>
      <c r="C497" s="10">
        <v>1</v>
      </c>
      <c r="D497" s="11">
        <v>42077</v>
      </c>
      <c r="E497" s="12">
        <v>43392</v>
      </c>
      <c r="F497" s="26" t="str">
        <f t="shared" si="16"/>
        <v>43 : 5</v>
      </c>
      <c r="G497" s="14">
        <f t="shared" si="17"/>
        <v>1315</v>
      </c>
      <c r="H497" s="22">
        <v>4</v>
      </c>
      <c r="I497" s="9" t="s">
        <v>104</v>
      </c>
      <c r="J497" s="9" t="s">
        <v>32</v>
      </c>
      <c r="K497" s="9" t="s">
        <v>32</v>
      </c>
      <c r="L497" s="20">
        <v>-0.5</v>
      </c>
      <c r="M497" s="14">
        <v>0.5</v>
      </c>
      <c r="AD497" s="14">
        <v>0</v>
      </c>
      <c r="AE497" s="14">
        <v>1</v>
      </c>
      <c r="AG497" s="14" t="s">
        <v>41</v>
      </c>
    </row>
    <row r="498" spans="1:34" s="14" customFormat="1" x14ac:dyDescent="0.25">
      <c r="A498" s="10" t="s">
        <v>646</v>
      </c>
      <c r="B498" s="10"/>
      <c r="C498" s="10">
        <v>1</v>
      </c>
      <c r="D498" s="11">
        <v>42077</v>
      </c>
      <c r="E498" s="12">
        <v>43392</v>
      </c>
      <c r="F498" s="26" t="str">
        <f t="shared" si="16"/>
        <v>43 : 5</v>
      </c>
      <c r="G498" s="14">
        <f t="shared" si="17"/>
        <v>1315</v>
      </c>
      <c r="H498" s="22">
        <v>4</v>
      </c>
      <c r="I498" s="9" t="s">
        <v>107</v>
      </c>
      <c r="J498" s="9" t="s">
        <v>35</v>
      </c>
      <c r="K498" s="9" t="s">
        <v>33</v>
      </c>
      <c r="L498" s="20">
        <v>0.5</v>
      </c>
      <c r="M498" s="14">
        <v>-0.5</v>
      </c>
      <c r="V498" s="14" t="s">
        <v>197</v>
      </c>
      <c r="W498" s="14">
        <v>1</v>
      </c>
      <c r="AD498" s="14">
        <v>0</v>
      </c>
      <c r="AE498" s="14">
        <v>0</v>
      </c>
      <c r="AG498" s="14" t="s">
        <v>206</v>
      </c>
    </row>
    <row r="499" spans="1:34" s="14" customFormat="1" x14ac:dyDescent="0.25">
      <c r="A499" s="10" t="s">
        <v>646</v>
      </c>
      <c r="B499" s="10"/>
      <c r="C499" s="10">
        <v>1</v>
      </c>
      <c r="D499" s="11">
        <v>42077</v>
      </c>
      <c r="E499" s="12">
        <v>43392</v>
      </c>
      <c r="F499" s="26" t="str">
        <f t="shared" si="16"/>
        <v>43 : 5</v>
      </c>
      <c r="G499" s="14">
        <f t="shared" si="17"/>
        <v>1315</v>
      </c>
      <c r="H499" s="22">
        <v>4</v>
      </c>
      <c r="I499" s="9" t="s">
        <v>110</v>
      </c>
      <c r="J499" s="9" t="s">
        <v>40</v>
      </c>
      <c r="K499" s="9" t="s">
        <v>39</v>
      </c>
      <c r="L499" s="20">
        <v>-0.5</v>
      </c>
      <c r="M499" s="14">
        <v>-0.5</v>
      </c>
      <c r="Y499" s="14">
        <v>1</v>
      </c>
      <c r="AD499" s="14">
        <v>1</v>
      </c>
      <c r="AE499" s="14">
        <v>0</v>
      </c>
      <c r="AF499" s="14" t="s">
        <v>653</v>
      </c>
      <c r="AG499" s="14" t="s">
        <v>327</v>
      </c>
    </row>
    <row r="500" spans="1:34" s="14" customFormat="1" x14ac:dyDescent="0.25">
      <c r="A500" s="10" t="s">
        <v>646</v>
      </c>
      <c r="B500" s="10"/>
      <c r="C500" s="10">
        <v>1</v>
      </c>
      <c r="D500" s="11">
        <v>42077</v>
      </c>
      <c r="E500" s="12">
        <v>43392</v>
      </c>
      <c r="F500" s="26" t="str">
        <f t="shared" si="16"/>
        <v>43 : 5</v>
      </c>
      <c r="G500" s="14">
        <f t="shared" si="17"/>
        <v>1315</v>
      </c>
      <c r="H500" s="22">
        <v>4</v>
      </c>
      <c r="I500" s="9" t="s">
        <v>113</v>
      </c>
      <c r="J500" s="9" t="s">
        <v>39</v>
      </c>
      <c r="K500" s="9" t="s">
        <v>39</v>
      </c>
      <c r="L500" s="20">
        <v>0.5</v>
      </c>
      <c r="M500" s="14">
        <v>0.5</v>
      </c>
      <c r="AD500" s="14">
        <v>0</v>
      </c>
      <c r="AE500" s="14">
        <v>0</v>
      </c>
      <c r="AG500" s="14" t="s">
        <v>341</v>
      </c>
    </row>
    <row r="501" spans="1:34" s="14" customFormat="1" x14ac:dyDescent="0.25">
      <c r="A501" s="10" t="s">
        <v>646</v>
      </c>
      <c r="B501" s="10"/>
      <c r="C501" s="10">
        <v>1</v>
      </c>
      <c r="D501" s="11">
        <v>42077</v>
      </c>
      <c r="E501" s="12">
        <v>43392</v>
      </c>
      <c r="F501" s="26" t="str">
        <f t="shared" si="16"/>
        <v>43 : 5</v>
      </c>
      <c r="G501" s="14">
        <f t="shared" si="17"/>
        <v>1315</v>
      </c>
      <c r="H501" s="22">
        <v>4</v>
      </c>
      <c r="I501" s="9" t="s">
        <v>115</v>
      </c>
      <c r="J501" s="9" t="s">
        <v>32</v>
      </c>
      <c r="K501" s="9" t="s">
        <v>35</v>
      </c>
      <c r="L501" s="20">
        <v>0.5</v>
      </c>
      <c r="M501" s="14">
        <v>-0.5</v>
      </c>
      <c r="AD501" s="14">
        <v>0</v>
      </c>
      <c r="AE501" s="14">
        <v>0</v>
      </c>
      <c r="AG501" s="14" t="s">
        <v>217</v>
      </c>
    </row>
    <row r="502" spans="1:34" s="14" customFormat="1" x14ac:dyDescent="0.25">
      <c r="A502" s="10" t="s">
        <v>646</v>
      </c>
      <c r="B502" s="10"/>
      <c r="C502" s="10">
        <v>1</v>
      </c>
      <c r="D502" s="11">
        <v>42077</v>
      </c>
      <c r="E502" s="12">
        <v>43392</v>
      </c>
      <c r="F502" s="26" t="str">
        <f t="shared" si="16"/>
        <v>43 : 5</v>
      </c>
      <c r="G502" s="14">
        <f t="shared" si="17"/>
        <v>1315</v>
      </c>
      <c r="H502" s="22">
        <v>4</v>
      </c>
      <c r="I502" s="9" t="s">
        <v>117</v>
      </c>
      <c r="J502" s="9" t="s">
        <v>30</v>
      </c>
      <c r="K502" s="9" t="s">
        <v>40</v>
      </c>
      <c r="L502" s="20">
        <v>-0.5</v>
      </c>
      <c r="M502" s="14">
        <v>-0.5</v>
      </c>
      <c r="Y502" s="14">
        <v>1</v>
      </c>
      <c r="AD502" s="14">
        <v>0</v>
      </c>
      <c r="AE502" s="14">
        <v>1</v>
      </c>
      <c r="AF502" s="14" t="s">
        <v>654</v>
      </c>
      <c r="AG502" s="14" t="s">
        <v>53</v>
      </c>
    </row>
    <row r="503" spans="1:34" s="14" customFormat="1" x14ac:dyDescent="0.25">
      <c r="A503" s="10" t="s">
        <v>646</v>
      </c>
      <c r="B503" s="10"/>
      <c r="C503" s="10">
        <v>1</v>
      </c>
      <c r="D503" s="11">
        <v>42077</v>
      </c>
      <c r="E503" s="12">
        <v>43392</v>
      </c>
      <c r="F503" s="26" t="str">
        <f t="shared" si="16"/>
        <v>43 : 5</v>
      </c>
      <c r="G503" s="14">
        <f t="shared" si="17"/>
        <v>1315</v>
      </c>
      <c r="H503" s="22">
        <v>4</v>
      </c>
      <c r="I503" s="9" t="s">
        <v>121</v>
      </c>
      <c r="J503" s="9" t="s">
        <v>33</v>
      </c>
      <c r="K503" s="9" t="s">
        <v>33</v>
      </c>
      <c r="L503" s="20">
        <v>-0.5</v>
      </c>
      <c r="M503" s="14">
        <v>0.5</v>
      </c>
      <c r="V503" s="14" t="s">
        <v>197</v>
      </c>
      <c r="W503" s="14">
        <v>1</v>
      </c>
      <c r="AD503" s="14">
        <v>0</v>
      </c>
      <c r="AE503" s="14">
        <v>1</v>
      </c>
      <c r="AG503" s="14" t="s">
        <v>655</v>
      </c>
    </row>
    <row r="504" spans="1:34" s="14" customFormat="1" x14ac:dyDescent="0.25">
      <c r="A504" s="10" t="s">
        <v>646</v>
      </c>
      <c r="B504" s="10"/>
      <c r="C504" s="10">
        <v>1</v>
      </c>
      <c r="D504" s="11">
        <v>42077</v>
      </c>
      <c r="E504" s="12">
        <v>43392</v>
      </c>
      <c r="F504" s="26" t="str">
        <f t="shared" si="16"/>
        <v>43 : 5</v>
      </c>
      <c r="G504" s="14">
        <f t="shared" si="17"/>
        <v>1315</v>
      </c>
      <c r="H504" s="22">
        <v>4</v>
      </c>
      <c r="I504" s="9" t="s">
        <v>124</v>
      </c>
      <c r="J504" s="9" t="s">
        <v>40</v>
      </c>
      <c r="K504" s="9" t="s">
        <v>40</v>
      </c>
      <c r="L504" s="20">
        <v>0.5</v>
      </c>
      <c r="M504" s="14">
        <v>0.5</v>
      </c>
      <c r="AD504" s="14">
        <v>0</v>
      </c>
      <c r="AE504" s="14">
        <v>0</v>
      </c>
      <c r="AG504" s="14" t="s">
        <v>656</v>
      </c>
      <c r="AH504" s="14" t="s">
        <v>280</v>
      </c>
    </row>
    <row r="505" spans="1:34" s="14" customFormat="1" x14ac:dyDescent="0.25">
      <c r="A505" s="10" t="s">
        <v>646</v>
      </c>
      <c r="B505" s="10"/>
      <c r="C505" s="10">
        <v>1</v>
      </c>
      <c r="D505" s="11">
        <v>42077</v>
      </c>
      <c r="E505" s="12">
        <v>43392</v>
      </c>
      <c r="F505" s="26" t="str">
        <f t="shared" si="16"/>
        <v>43 : 5</v>
      </c>
      <c r="G505" s="14">
        <f t="shared" si="17"/>
        <v>1315</v>
      </c>
      <c r="H505" s="22">
        <v>4</v>
      </c>
      <c r="I505" s="9" t="s">
        <v>127</v>
      </c>
      <c r="J505" s="9" t="s">
        <v>39</v>
      </c>
      <c r="K505" s="9" t="s">
        <v>30</v>
      </c>
      <c r="L505" s="20">
        <v>-0.5</v>
      </c>
      <c r="M505" s="14">
        <v>-0.5</v>
      </c>
      <c r="T505" s="14">
        <v>1</v>
      </c>
      <c r="AD505" s="14">
        <v>0</v>
      </c>
      <c r="AE505" s="14">
        <v>1</v>
      </c>
      <c r="AG505" s="14" t="s">
        <v>657</v>
      </c>
    </row>
    <row r="506" spans="1:34" s="14" customFormat="1" x14ac:dyDescent="0.25">
      <c r="A506" s="10" t="s">
        <v>658</v>
      </c>
      <c r="B506" s="10"/>
      <c r="C506" s="10">
        <v>1</v>
      </c>
      <c r="D506" s="11">
        <v>42076</v>
      </c>
      <c r="E506" s="12">
        <v>43377</v>
      </c>
      <c r="F506" s="26" t="str">
        <f t="shared" si="16"/>
        <v>42 : 21</v>
      </c>
      <c r="G506" s="14">
        <f t="shared" si="17"/>
        <v>1301</v>
      </c>
      <c r="H506" s="9">
        <v>1</v>
      </c>
      <c r="I506" s="9">
        <v>1</v>
      </c>
      <c r="J506" s="9" t="s">
        <v>30</v>
      </c>
      <c r="K506" s="9" t="s">
        <v>30</v>
      </c>
      <c r="L506" s="15">
        <v>-0.5</v>
      </c>
      <c r="M506" s="14">
        <v>0.5</v>
      </c>
      <c r="AD506" s="14">
        <v>0</v>
      </c>
      <c r="AE506" s="14">
        <v>1</v>
      </c>
      <c r="AF506" s="14" t="s">
        <v>659</v>
      </c>
      <c r="AG506" s="14" t="s">
        <v>31</v>
      </c>
    </row>
    <row r="507" spans="1:34" s="14" customFormat="1" x14ac:dyDescent="0.25">
      <c r="A507" s="10" t="s">
        <v>658</v>
      </c>
      <c r="B507" s="10"/>
      <c r="C507" s="10">
        <v>1</v>
      </c>
      <c r="D507" s="11">
        <v>42076</v>
      </c>
      <c r="E507" s="12">
        <v>43377</v>
      </c>
      <c r="F507" s="26" t="str">
        <f t="shared" si="16"/>
        <v>42 : 21</v>
      </c>
      <c r="G507" s="14">
        <f t="shared" si="17"/>
        <v>1301</v>
      </c>
      <c r="H507" s="9">
        <v>1</v>
      </c>
      <c r="I507" s="9">
        <v>2</v>
      </c>
      <c r="J507" s="9" t="s">
        <v>32</v>
      </c>
      <c r="K507" s="9" t="s">
        <v>33</v>
      </c>
      <c r="L507" s="15">
        <v>-0.5</v>
      </c>
      <c r="M507" s="14">
        <v>-0.5</v>
      </c>
      <c r="R507" s="14">
        <v>1</v>
      </c>
      <c r="S507" s="14">
        <v>1</v>
      </c>
      <c r="Y507" s="14">
        <v>1</v>
      </c>
      <c r="Z507" s="14">
        <v>1</v>
      </c>
      <c r="AA507" s="14">
        <v>1</v>
      </c>
      <c r="AF507" s="14" t="s">
        <v>660</v>
      </c>
      <c r="AG507" s="14" t="s">
        <v>661</v>
      </c>
    </row>
    <row r="508" spans="1:34" s="14" customFormat="1" x14ac:dyDescent="0.25">
      <c r="A508" s="10" t="s">
        <v>658</v>
      </c>
      <c r="B508" s="10"/>
      <c r="C508" s="10">
        <v>1</v>
      </c>
      <c r="D508" s="11">
        <v>42076</v>
      </c>
      <c r="E508" s="12">
        <v>43377</v>
      </c>
      <c r="F508" s="26" t="str">
        <f t="shared" si="16"/>
        <v>42 : 21</v>
      </c>
      <c r="G508" s="14">
        <f t="shared" si="17"/>
        <v>1301</v>
      </c>
      <c r="H508" s="9">
        <v>1</v>
      </c>
      <c r="I508" s="9">
        <v>3</v>
      </c>
      <c r="J508" s="9" t="s">
        <v>35</v>
      </c>
      <c r="K508" s="9" t="s">
        <v>35</v>
      </c>
      <c r="L508" s="15">
        <v>0.5</v>
      </c>
      <c r="M508" s="14">
        <v>0.5</v>
      </c>
      <c r="T508" s="14">
        <v>1</v>
      </c>
      <c r="AD508" s="14">
        <v>0</v>
      </c>
      <c r="AE508" s="14">
        <v>0</v>
      </c>
      <c r="AG508" s="14" t="s">
        <v>59</v>
      </c>
    </row>
    <row r="509" spans="1:34" s="14" customFormat="1" x14ac:dyDescent="0.25">
      <c r="A509" s="10" t="s">
        <v>658</v>
      </c>
      <c r="B509" s="10"/>
      <c r="C509" s="10">
        <v>1</v>
      </c>
      <c r="D509" s="11">
        <v>42076</v>
      </c>
      <c r="E509" s="12">
        <v>43377</v>
      </c>
      <c r="F509" s="26" t="str">
        <f t="shared" si="16"/>
        <v>42 : 21</v>
      </c>
      <c r="G509" s="14">
        <f t="shared" si="17"/>
        <v>1301</v>
      </c>
      <c r="H509" s="9">
        <v>1</v>
      </c>
      <c r="I509" s="9">
        <v>4</v>
      </c>
      <c r="J509" s="9" t="s">
        <v>32</v>
      </c>
      <c r="K509" s="9" t="s">
        <v>32</v>
      </c>
      <c r="L509" s="15">
        <v>0.5</v>
      </c>
      <c r="M509" s="14">
        <v>0.5</v>
      </c>
      <c r="AD509" s="14">
        <v>1</v>
      </c>
      <c r="AE509" s="14">
        <v>1</v>
      </c>
      <c r="AG509" s="14" t="s">
        <v>82</v>
      </c>
    </row>
    <row r="510" spans="1:34" s="14" customFormat="1" x14ac:dyDescent="0.25">
      <c r="A510" s="10" t="s">
        <v>658</v>
      </c>
      <c r="B510" s="10"/>
      <c r="C510" s="10">
        <v>1</v>
      </c>
      <c r="D510" s="11">
        <v>42076</v>
      </c>
      <c r="E510" s="12">
        <v>43377</v>
      </c>
      <c r="F510" s="26" t="str">
        <f t="shared" si="16"/>
        <v>42 : 21</v>
      </c>
      <c r="G510" s="14">
        <f t="shared" si="17"/>
        <v>1301</v>
      </c>
      <c r="H510" s="9">
        <v>1</v>
      </c>
      <c r="I510" s="9">
        <v>5</v>
      </c>
      <c r="J510" s="9" t="s">
        <v>33</v>
      </c>
      <c r="K510" s="9" t="s">
        <v>35</v>
      </c>
      <c r="L510" s="15">
        <v>-0.5</v>
      </c>
      <c r="M510" s="14">
        <v>-0.5</v>
      </c>
      <c r="V510" s="14" t="s">
        <v>276</v>
      </c>
      <c r="AD510" s="14">
        <v>0</v>
      </c>
      <c r="AE510" s="14">
        <v>1</v>
      </c>
      <c r="AG510" s="14" t="s">
        <v>662</v>
      </c>
    </row>
    <row r="511" spans="1:34" s="14" customFormat="1" x14ac:dyDescent="0.25">
      <c r="A511" s="10" t="s">
        <v>658</v>
      </c>
      <c r="B511" s="10"/>
      <c r="C511" s="10">
        <v>1</v>
      </c>
      <c r="D511" s="11">
        <v>42076</v>
      </c>
      <c r="E511" s="12">
        <v>43377</v>
      </c>
      <c r="F511" s="26" t="str">
        <f t="shared" si="16"/>
        <v>42 : 21</v>
      </c>
      <c r="G511" s="14">
        <f t="shared" si="17"/>
        <v>1301</v>
      </c>
      <c r="H511" s="9">
        <v>1</v>
      </c>
      <c r="I511" s="9">
        <v>6</v>
      </c>
      <c r="J511" s="9" t="s">
        <v>39</v>
      </c>
      <c r="K511" s="9" t="s">
        <v>40</v>
      </c>
      <c r="L511" s="15">
        <v>0.5</v>
      </c>
      <c r="M511" s="14">
        <v>-0.5</v>
      </c>
      <c r="AD511" s="14">
        <v>0</v>
      </c>
      <c r="AE511" s="14">
        <v>0</v>
      </c>
      <c r="AF511" s="14" t="s">
        <v>663</v>
      </c>
      <c r="AG511" s="14" t="s">
        <v>664</v>
      </c>
    </row>
    <row r="512" spans="1:34" s="14" customFormat="1" x14ac:dyDescent="0.25">
      <c r="A512" s="10" t="s">
        <v>658</v>
      </c>
      <c r="B512" s="10"/>
      <c r="C512" s="10">
        <v>1</v>
      </c>
      <c r="D512" s="11">
        <v>42076</v>
      </c>
      <c r="E512" s="12">
        <v>43377</v>
      </c>
      <c r="F512" s="26" t="str">
        <f t="shared" si="16"/>
        <v>42 : 21</v>
      </c>
      <c r="G512" s="14">
        <f t="shared" si="17"/>
        <v>1301</v>
      </c>
      <c r="H512" s="9">
        <v>1</v>
      </c>
      <c r="I512" s="9">
        <v>7</v>
      </c>
      <c r="J512" s="9" t="s">
        <v>39</v>
      </c>
      <c r="K512" s="9" t="s">
        <v>39</v>
      </c>
      <c r="L512" s="15">
        <v>-0.5</v>
      </c>
      <c r="M512" s="14">
        <v>0.5</v>
      </c>
      <c r="AD512" s="14">
        <v>0</v>
      </c>
      <c r="AE512" s="14">
        <v>1</v>
      </c>
      <c r="AG512" s="14" t="s">
        <v>665</v>
      </c>
      <c r="AH512" s="14" t="s">
        <v>280</v>
      </c>
    </row>
    <row r="513" spans="1:34" s="14" customFormat="1" x14ac:dyDescent="0.25">
      <c r="A513" s="10" t="s">
        <v>658</v>
      </c>
      <c r="B513" s="10"/>
      <c r="C513" s="10">
        <v>1</v>
      </c>
      <c r="D513" s="11">
        <v>42076</v>
      </c>
      <c r="E513" s="12">
        <v>43377</v>
      </c>
      <c r="F513" s="26" t="str">
        <f t="shared" si="16"/>
        <v>42 : 21</v>
      </c>
      <c r="G513" s="14">
        <f t="shared" si="17"/>
        <v>1301</v>
      </c>
      <c r="H513" s="9">
        <v>1</v>
      </c>
      <c r="I513" s="9">
        <v>8</v>
      </c>
      <c r="J513" s="9" t="s">
        <v>35</v>
      </c>
      <c r="K513" s="9" t="s">
        <v>32</v>
      </c>
      <c r="L513" s="15">
        <v>-0.5</v>
      </c>
      <c r="M513" s="14">
        <v>-0.5</v>
      </c>
      <c r="AD513" s="14">
        <v>0</v>
      </c>
      <c r="AE513" s="14">
        <v>1</v>
      </c>
      <c r="AG513" s="14" t="s">
        <v>51</v>
      </c>
    </row>
    <row r="514" spans="1:34" s="14" customFormat="1" x14ac:dyDescent="0.25">
      <c r="A514" s="10" t="s">
        <v>658</v>
      </c>
      <c r="B514" s="10"/>
      <c r="C514" s="10">
        <v>1</v>
      </c>
      <c r="D514" s="11">
        <v>42076</v>
      </c>
      <c r="E514" s="12">
        <v>43377</v>
      </c>
      <c r="F514" s="26" t="str">
        <f t="shared" si="16"/>
        <v>42 : 21</v>
      </c>
      <c r="G514" s="14">
        <f t="shared" si="17"/>
        <v>1301</v>
      </c>
      <c r="H514" s="9">
        <v>1</v>
      </c>
      <c r="I514" s="9">
        <v>9</v>
      </c>
      <c r="J514" s="9" t="s">
        <v>40</v>
      </c>
      <c r="K514" s="9" t="s">
        <v>30</v>
      </c>
      <c r="L514" s="15">
        <v>0.5</v>
      </c>
      <c r="M514" s="14">
        <v>-0.5</v>
      </c>
      <c r="AD514" s="14">
        <v>1</v>
      </c>
      <c r="AE514" s="14">
        <v>1</v>
      </c>
      <c r="AG514" s="14" t="s">
        <v>666</v>
      </c>
    </row>
    <row r="515" spans="1:34" s="14" customFormat="1" x14ac:dyDescent="0.25">
      <c r="A515" s="10" t="s">
        <v>658</v>
      </c>
      <c r="B515" s="10"/>
      <c r="C515" s="10">
        <v>1</v>
      </c>
      <c r="D515" s="11">
        <v>42076</v>
      </c>
      <c r="E515" s="12">
        <v>43377</v>
      </c>
      <c r="F515" s="26" t="str">
        <f t="shared" si="16"/>
        <v>42 : 21</v>
      </c>
      <c r="G515" s="14">
        <f t="shared" si="17"/>
        <v>1301</v>
      </c>
      <c r="H515" s="9">
        <v>1</v>
      </c>
      <c r="I515" s="9">
        <v>10</v>
      </c>
      <c r="J515" s="9" t="s">
        <v>33</v>
      </c>
      <c r="K515" s="9" t="s">
        <v>33</v>
      </c>
      <c r="L515" s="15">
        <v>0.5</v>
      </c>
      <c r="M515" s="14">
        <v>0.5</v>
      </c>
      <c r="V515" s="14" t="s">
        <v>197</v>
      </c>
      <c r="W515" s="14">
        <v>1</v>
      </c>
      <c r="AD515" s="14">
        <v>0</v>
      </c>
      <c r="AE515" s="14">
        <v>0</v>
      </c>
      <c r="AG515" s="14" t="s">
        <v>667</v>
      </c>
    </row>
    <row r="516" spans="1:34" s="14" customFormat="1" x14ac:dyDescent="0.25">
      <c r="A516" s="10" t="s">
        <v>658</v>
      </c>
      <c r="B516" s="10"/>
      <c r="C516" s="10">
        <v>1</v>
      </c>
      <c r="D516" s="11">
        <v>42076</v>
      </c>
      <c r="E516" s="12">
        <v>43377</v>
      </c>
      <c r="F516" s="26" t="str">
        <f t="shared" si="16"/>
        <v>42 : 21</v>
      </c>
      <c r="G516" s="14">
        <f t="shared" si="17"/>
        <v>1301</v>
      </c>
      <c r="H516" s="9">
        <v>1</v>
      </c>
      <c r="I516" s="9">
        <v>11</v>
      </c>
      <c r="J516" s="9" t="s">
        <v>40</v>
      </c>
      <c r="K516" s="9" t="s">
        <v>40</v>
      </c>
      <c r="L516" s="15">
        <v>-0.5</v>
      </c>
      <c r="M516" s="14">
        <v>0.5</v>
      </c>
      <c r="AD516" s="14">
        <v>0</v>
      </c>
      <c r="AE516" s="14">
        <v>1</v>
      </c>
      <c r="AG516" s="14" t="s">
        <v>138</v>
      </c>
    </row>
    <row r="517" spans="1:34" s="14" customFormat="1" x14ac:dyDescent="0.25">
      <c r="A517" s="10" t="s">
        <v>658</v>
      </c>
      <c r="B517" s="10"/>
      <c r="C517" s="10">
        <v>1</v>
      </c>
      <c r="D517" s="11">
        <v>42076</v>
      </c>
      <c r="E517" s="12">
        <v>43377</v>
      </c>
      <c r="F517" s="26" t="str">
        <f t="shared" si="16"/>
        <v>42 : 21</v>
      </c>
      <c r="G517" s="14">
        <f t="shared" si="17"/>
        <v>1301</v>
      </c>
      <c r="H517" s="9">
        <v>1</v>
      </c>
      <c r="I517" s="9">
        <v>12</v>
      </c>
      <c r="J517" s="9" t="s">
        <v>30</v>
      </c>
      <c r="K517" s="9" t="s">
        <v>39</v>
      </c>
      <c r="L517" s="15">
        <v>0.5</v>
      </c>
      <c r="M517" s="14">
        <v>-0.5</v>
      </c>
      <c r="Q517" s="14">
        <v>1</v>
      </c>
      <c r="AD517" s="14">
        <v>0</v>
      </c>
      <c r="AE517" s="14">
        <v>0</v>
      </c>
      <c r="AF517" s="14" t="s">
        <v>668</v>
      </c>
      <c r="AG517" s="14" t="s">
        <v>669</v>
      </c>
    </row>
    <row r="518" spans="1:34" x14ac:dyDescent="0.25">
      <c r="A518" s="3" t="s">
        <v>670</v>
      </c>
      <c r="C518" s="3">
        <v>0</v>
      </c>
      <c r="D518" s="4">
        <v>42130</v>
      </c>
      <c r="E518" s="5">
        <v>43437</v>
      </c>
      <c r="F518" s="25" t="str">
        <f t="shared" si="16"/>
        <v>42 : 27</v>
      </c>
      <c r="G518">
        <f t="shared" si="17"/>
        <v>1307</v>
      </c>
      <c r="H518" s="7">
        <v>8</v>
      </c>
      <c r="I518" s="7" t="s">
        <v>143</v>
      </c>
      <c r="J518" s="7" t="s">
        <v>40</v>
      </c>
      <c r="K518" s="7" t="s">
        <v>39</v>
      </c>
      <c r="L518" s="19">
        <v>-0.5</v>
      </c>
      <c r="M518">
        <v>-0.5</v>
      </c>
      <c r="Y518">
        <v>1</v>
      </c>
      <c r="AA518">
        <v>1</v>
      </c>
      <c r="AC518">
        <v>1</v>
      </c>
      <c r="AD518" s="14"/>
      <c r="AE518" s="14"/>
      <c r="AF518" t="s">
        <v>671</v>
      </c>
      <c r="AG518" s="14" t="s">
        <v>672</v>
      </c>
    </row>
    <row r="519" spans="1:34" x14ac:dyDescent="0.25">
      <c r="A519" s="3" t="s">
        <v>670</v>
      </c>
      <c r="C519" s="3">
        <v>0</v>
      </c>
      <c r="D519" s="4">
        <v>42130</v>
      </c>
      <c r="E519" s="5">
        <v>43437</v>
      </c>
      <c r="F519" s="25" t="str">
        <f t="shared" si="16"/>
        <v>42 : 27</v>
      </c>
      <c r="G519">
        <f t="shared" si="17"/>
        <v>1307</v>
      </c>
      <c r="H519" s="7">
        <v>8</v>
      </c>
      <c r="I519" s="7" t="s">
        <v>145</v>
      </c>
      <c r="J519" s="7" t="s">
        <v>35</v>
      </c>
      <c r="K519" s="7" t="s">
        <v>33</v>
      </c>
      <c r="L519" s="19">
        <v>0.5</v>
      </c>
      <c r="M519">
        <v>-0.5</v>
      </c>
      <c r="AD519" s="14">
        <v>0</v>
      </c>
      <c r="AE519" s="14">
        <v>0</v>
      </c>
      <c r="AG519" s="14" t="s">
        <v>673</v>
      </c>
    </row>
    <row r="520" spans="1:34" x14ac:dyDescent="0.25">
      <c r="A520" s="3" t="s">
        <v>670</v>
      </c>
      <c r="C520" s="3">
        <v>0</v>
      </c>
      <c r="D520" s="4">
        <v>42130</v>
      </c>
      <c r="E520" s="5">
        <v>43437</v>
      </c>
      <c r="F520" s="25" t="str">
        <f t="shared" si="16"/>
        <v>42 : 27</v>
      </c>
      <c r="G520">
        <f t="shared" si="17"/>
        <v>1307</v>
      </c>
      <c r="H520" s="7">
        <v>8</v>
      </c>
      <c r="I520" s="7" t="s">
        <v>146</v>
      </c>
      <c r="J520" s="7" t="s">
        <v>32</v>
      </c>
      <c r="K520" s="7" t="s">
        <v>32</v>
      </c>
      <c r="L520" s="19">
        <v>-0.5</v>
      </c>
      <c r="M520">
        <v>0.5</v>
      </c>
      <c r="Z520">
        <v>1</v>
      </c>
      <c r="AA520">
        <v>1</v>
      </c>
      <c r="AD520" s="14"/>
      <c r="AE520" s="14"/>
      <c r="AF520" t="s">
        <v>674</v>
      </c>
      <c r="AG520" s="14" t="s">
        <v>675</v>
      </c>
      <c r="AH520" t="s">
        <v>676</v>
      </c>
    </row>
    <row r="521" spans="1:34" x14ac:dyDescent="0.25">
      <c r="A521" s="3" t="s">
        <v>670</v>
      </c>
      <c r="C521" s="3">
        <v>0</v>
      </c>
      <c r="D521" s="4">
        <v>42130</v>
      </c>
      <c r="E521" s="5">
        <v>43437</v>
      </c>
      <c r="F521" s="25" t="str">
        <f t="shared" si="16"/>
        <v>42 : 27</v>
      </c>
      <c r="G521">
        <f t="shared" si="17"/>
        <v>1307</v>
      </c>
      <c r="H521" s="7">
        <v>8</v>
      </c>
      <c r="I521" s="7" t="s">
        <v>147</v>
      </c>
      <c r="J521" s="7" t="s">
        <v>35</v>
      </c>
      <c r="K521" s="7" t="s">
        <v>35</v>
      </c>
      <c r="L521" s="19">
        <v>-0.5</v>
      </c>
      <c r="M521">
        <v>0.5</v>
      </c>
      <c r="Y521">
        <v>1</v>
      </c>
      <c r="AD521" s="14">
        <v>0</v>
      </c>
      <c r="AE521" s="14">
        <v>1</v>
      </c>
      <c r="AF521" t="s">
        <v>677</v>
      </c>
      <c r="AG521" t="s">
        <v>678</v>
      </c>
      <c r="AH521" t="s">
        <v>679</v>
      </c>
    </row>
    <row r="522" spans="1:34" x14ac:dyDescent="0.25">
      <c r="A522" s="3" t="s">
        <v>670</v>
      </c>
      <c r="C522" s="3">
        <v>0</v>
      </c>
      <c r="D522" s="4">
        <v>42130</v>
      </c>
      <c r="E522" s="5">
        <v>43437</v>
      </c>
      <c r="F522" s="25" t="str">
        <f t="shared" si="16"/>
        <v>42 : 27</v>
      </c>
      <c r="G522">
        <f t="shared" si="17"/>
        <v>1307</v>
      </c>
      <c r="H522" s="7">
        <v>8</v>
      </c>
      <c r="I522" s="7" t="s">
        <v>148</v>
      </c>
      <c r="J522" s="7" t="s">
        <v>33</v>
      </c>
      <c r="K522" s="7" t="s">
        <v>32</v>
      </c>
      <c r="L522" s="19">
        <v>0.5</v>
      </c>
      <c r="M522">
        <v>-0.5</v>
      </c>
      <c r="AD522" s="14">
        <v>0</v>
      </c>
      <c r="AE522" s="14">
        <v>0</v>
      </c>
      <c r="AG522" t="s">
        <v>98</v>
      </c>
    </row>
    <row r="523" spans="1:34" x14ac:dyDescent="0.25">
      <c r="A523" s="3" t="s">
        <v>670</v>
      </c>
      <c r="C523" s="3">
        <v>0</v>
      </c>
      <c r="D523" s="4">
        <v>42130</v>
      </c>
      <c r="E523" s="5">
        <v>43437</v>
      </c>
      <c r="F523" s="25" t="str">
        <f t="shared" si="16"/>
        <v>42 : 27</v>
      </c>
      <c r="G523">
        <f t="shared" si="17"/>
        <v>1307</v>
      </c>
      <c r="H523" s="7">
        <v>8</v>
      </c>
      <c r="I523" s="7" t="s">
        <v>152</v>
      </c>
      <c r="J523" s="7" t="s">
        <v>30</v>
      </c>
      <c r="K523" s="7" t="s">
        <v>30</v>
      </c>
      <c r="L523" s="19">
        <v>0.5</v>
      </c>
      <c r="M523">
        <v>0.5</v>
      </c>
      <c r="AD523" s="14">
        <v>0</v>
      </c>
      <c r="AE523" s="14">
        <v>0</v>
      </c>
      <c r="AG523" t="s">
        <v>274</v>
      </c>
    </row>
    <row r="524" spans="1:34" x14ac:dyDescent="0.25">
      <c r="A524" s="3" t="s">
        <v>670</v>
      </c>
      <c r="C524" s="3">
        <v>0</v>
      </c>
      <c r="D524" s="4">
        <v>42130</v>
      </c>
      <c r="E524" s="5">
        <v>43437</v>
      </c>
      <c r="F524" s="25" t="str">
        <f t="shared" si="16"/>
        <v>42 : 27</v>
      </c>
      <c r="G524">
        <f t="shared" si="17"/>
        <v>1307</v>
      </c>
      <c r="H524" s="7">
        <v>8</v>
      </c>
      <c r="I524" s="7" t="s">
        <v>153</v>
      </c>
      <c r="J524" s="7" t="s">
        <v>39</v>
      </c>
      <c r="K524" s="9" t="s">
        <v>39</v>
      </c>
      <c r="L524" s="20">
        <v>-0.5</v>
      </c>
      <c r="M524" s="9">
        <v>0.5</v>
      </c>
      <c r="N524" s="14"/>
      <c r="O524" s="14">
        <v>1</v>
      </c>
      <c r="P524" s="14"/>
      <c r="Q524" s="14">
        <v>1</v>
      </c>
      <c r="S524">
        <v>0</v>
      </c>
      <c r="Z524">
        <v>1</v>
      </c>
      <c r="AA524">
        <v>1</v>
      </c>
      <c r="AD524" s="14"/>
      <c r="AE524" s="14"/>
      <c r="AF524" t="s">
        <v>680</v>
      </c>
      <c r="AG524" t="s">
        <v>444</v>
      </c>
    </row>
    <row r="525" spans="1:34" x14ac:dyDescent="0.25">
      <c r="A525" s="3" t="s">
        <v>670</v>
      </c>
      <c r="C525" s="3">
        <v>0</v>
      </c>
      <c r="D525" s="4">
        <v>42130</v>
      </c>
      <c r="E525" s="5">
        <v>43437</v>
      </c>
      <c r="F525" s="25" t="str">
        <f t="shared" si="16"/>
        <v>42 : 27</v>
      </c>
      <c r="G525">
        <f t="shared" si="17"/>
        <v>1307</v>
      </c>
      <c r="H525" s="7">
        <v>8</v>
      </c>
      <c r="I525" s="7" t="s">
        <v>154</v>
      </c>
      <c r="J525" s="7" t="s">
        <v>40</v>
      </c>
      <c r="K525" s="7" t="s">
        <v>40</v>
      </c>
      <c r="L525" s="19">
        <v>0.5</v>
      </c>
      <c r="M525">
        <v>0.5</v>
      </c>
      <c r="R525">
        <v>1</v>
      </c>
      <c r="AD525" s="14">
        <v>0</v>
      </c>
      <c r="AE525" s="14">
        <v>0</v>
      </c>
      <c r="AF525" t="s">
        <v>681</v>
      </c>
      <c r="AG525" t="s">
        <v>84</v>
      </c>
    </row>
    <row r="526" spans="1:34" x14ac:dyDescent="0.25">
      <c r="A526" s="3" t="s">
        <v>670</v>
      </c>
      <c r="C526" s="3">
        <v>0</v>
      </c>
      <c r="D526" s="4">
        <v>42130</v>
      </c>
      <c r="E526" s="5">
        <v>43437</v>
      </c>
      <c r="F526" s="25" t="str">
        <f t="shared" si="16"/>
        <v>42 : 27</v>
      </c>
      <c r="G526">
        <f t="shared" si="17"/>
        <v>1307</v>
      </c>
      <c r="H526" s="7">
        <v>8</v>
      </c>
      <c r="I526" s="7" t="s">
        <v>155</v>
      </c>
      <c r="J526" s="7" t="s">
        <v>33</v>
      </c>
      <c r="K526" s="7" t="s">
        <v>33</v>
      </c>
      <c r="L526" s="19">
        <v>-0.5</v>
      </c>
      <c r="M526">
        <v>0.5</v>
      </c>
      <c r="Y526">
        <v>1</v>
      </c>
      <c r="AD526" s="14">
        <v>0</v>
      </c>
      <c r="AE526" s="14">
        <v>1</v>
      </c>
      <c r="AF526" t="s">
        <v>682</v>
      </c>
      <c r="AG526" t="s">
        <v>515</v>
      </c>
      <c r="AH526" t="s">
        <v>679</v>
      </c>
    </row>
    <row r="527" spans="1:34" x14ac:dyDescent="0.25">
      <c r="A527" s="3" t="s">
        <v>670</v>
      </c>
      <c r="C527" s="3">
        <v>0</v>
      </c>
      <c r="D527" s="4">
        <v>42130</v>
      </c>
      <c r="E527" s="5">
        <v>43437</v>
      </c>
      <c r="F527" s="25" t="str">
        <f t="shared" si="16"/>
        <v>42 : 27</v>
      </c>
      <c r="G527">
        <f t="shared" si="17"/>
        <v>1307</v>
      </c>
      <c r="H527" s="7">
        <v>8</v>
      </c>
      <c r="I527" s="7" t="s">
        <v>156</v>
      </c>
      <c r="J527" s="7" t="s">
        <v>30</v>
      </c>
      <c r="K527" s="7" t="s">
        <v>40</v>
      </c>
      <c r="L527" s="19">
        <v>-0.5</v>
      </c>
      <c r="M527">
        <v>-0.5</v>
      </c>
      <c r="P527">
        <v>1</v>
      </c>
      <c r="AD527" s="14"/>
      <c r="AE527" s="14"/>
      <c r="AF527" t="s">
        <v>684</v>
      </c>
      <c r="AG527" t="s">
        <v>683</v>
      </c>
      <c r="AH527" t="s">
        <v>685</v>
      </c>
    </row>
    <row r="528" spans="1:34" x14ac:dyDescent="0.25">
      <c r="A528" s="3" t="s">
        <v>670</v>
      </c>
      <c r="C528" s="3">
        <v>0</v>
      </c>
      <c r="D528" s="4">
        <v>42130</v>
      </c>
      <c r="E528" s="5">
        <v>43437</v>
      </c>
      <c r="F528" s="25" t="str">
        <f t="shared" si="16"/>
        <v>42 : 27</v>
      </c>
      <c r="G528">
        <f t="shared" si="17"/>
        <v>1307</v>
      </c>
      <c r="H528" s="7">
        <v>8</v>
      </c>
      <c r="I528" s="7" t="s">
        <v>157</v>
      </c>
      <c r="J528" s="7" t="s">
        <v>32</v>
      </c>
      <c r="K528" s="7" t="s">
        <v>35</v>
      </c>
      <c r="L528" s="19">
        <v>0.5</v>
      </c>
      <c r="M528">
        <v>-0.5</v>
      </c>
      <c r="AD528" s="14">
        <v>0</v>
      </c>
      <c r="AE528" s="14">
        <v>0</v>
      </c>
      <c r="AF528" t="s">
        <v>686</v>
      </c>
      <c r="AG528" t="s">
        <v>687</v>
      </c>
    </row>
    <row r="529" spans="1:34" x14ac:dyDescent="0.25">
      <c r="A529" s="3" t="s">
        <v>670</v>
      </c>
      <c r="C529" s="3">
        <v>0</v>
      </c>
      <c r="D529" s="4">
        <v>42130</v>
      </c>
      <c r="E529" s="5">
        <v>43437</v>
      </c>
      <c r="F529" s="25" t="str">
        <f t="shared" si="16"/>
        <v>42 : 27</v>
      </c>
      <c r="G529">
        <f t="shared" si="17"/>
        <v>1307</v>
      </c>
      <c r="H529" s="7">
        <v>8</v>
      </c>
      <c r="I529" s="7" t="s">
        <v>158</v>
      </c>
      <c r="J529" s="7" t="s">
        <v>39</v>
      </c>
      <c r="K529" s="7" t="s">
        <v>39</v>
      </c>
      <c r="L529" s="19">
        <v>0.5</v>
      </c>
      <c r="M529">
        <v>0.5</v>
      </c>
      <c r="AD529" s="14">
        <v>0</v>
      </c>
      <c r="AE529" s="14">
        <v>0</v>
      </c>
      <c r="AG529" t="s">
        <v>265</v>
      </c>
    </row>
    <row r="530" spans="1:34" x14ac:dyDescent="0.25">
      <c r="A530" s="10" t="s">
        <v>688</v>
      </c>
      <c r="B530" s="10"/>
      <c r="C530" s="10">
        <v>1</v>
      </c>
      <c r="D530" s="11">
        <v>42129</v>
      </c>
      <c r="E530" s="12">
        <v>43418</v>
      </c>
      <c r="F530" s="26" t="str">
        <f t="shared" si="16"/>
        <v>42 : 9</v>
      </c>
      <c r="G530" s="14">
        <f t="shared" si="17"/>
        <v>1289</v>
      </c>
      <c r="H530" s="9">
        <v>5</v>
      </c>
      <c r="I530" s="9">
        <v>6</v>
      </c>
      <c r="J530" s="9" t="s">
        <v>39</v>
      </c>
      <c r="K530" s="9" t="s">
        <v>40</v>
      </c>
      <c r="L530" s="20">
        <v>0.5</v>
      </c>
      <c r="M530" s="14">
        <v>-0.5</v>
      </c>
      <c r="N530" s="14"/>
      <c r="O530" s="14"/>
      <c r="P530" s="14"/>
      <c r="AA530">
        <v>1</v>
      </c>
      <c r="AD530" s="14"/>
      <c r="AE530" s="14"/>
      <c r="AF530" t="s">
        <v>689</v>
      </c>
      <c r="AG530" t="s">
        <v>444</v>
      </c>
    </row>
    <row r="531" spans="1:34" x14ac:dyDescent="0.25">
      <c r="A531" s="10" t="s">
        <v>688</v>
      </c>
      <c r="B531" s="10"/>
      <c r="C531" s="10">
        <v>1</v>
      </c>
      <c r="D531" s="11">
        <v>42129</v>
      </c>
      <c r="E531" s="12">
        <v>43418</v>
      </c>
      <c r="F531" s="26" t="str">
        <f t="shared" si="16"/>
        <v>42 : 9</v>
      </c>
      <c r="G531" s="14">
        <f t="shared" si="17"/>
        <v>1289</v>
      </c>
      <c r="H531" s="9">
        <v>5</v>
      </c>
      <c r="I531" s="9">
        <v>5</v>
      </c>
      <c r="J531" s="9" t="s">
        <v>33</v>
      </c>
      <c r="K531" s="9" t="s">
        <v>35</v>
      </c>
      <c r="L531" s="20">
        <v>-0.5</v>
      </c>
      <c r="M531" s="14">
        <v>-0.5</v>
      </c>
      <c r="N531" s="14"/>
      <c r="O531" s="14"/>
      <c r="P531" s="14"/>
      <c r="AA531">
        <v>1</v>
      </c>
      <c r="AD531" s="14"/>
      <c r="AE531" s="14"/>
      <c r="AF531" t="s">
        <v>690</v>
      </c>
      <c r="AG531" t="s">
        <v>691</v>
      </c>
    </row>
    <row r="532" spans="1:34" x14ac:dyDescent="0.25">
      <c r="A532" s="10" t="s">
        <v>688</v>
      </c>
      <c r="B532" s="10"/>
      <c r="C532" s="10">
        <v>1</v>
      </c>
      <c r="D532" s="11">
        <v>42129</v>
      </c>
      <c r="E532" s="12">
        <v>43418</v>
      </c>
      <c r="F532" s="26" t="str">
        <f t="shared" si="16"/>
        <v>42 : 9</v>
      </c>
      <c r="G532" s="14">
        <f t="shared" si="17"/>
        <v>1289</v>
      </c>
      <c r="H532" s="9">
        <v>5</v>
      </c>
      <c r="I532" s="9">
        <v>4</v>
      </c>
      <c r="J532" s="9" t="s">
        <v>32</v>
      </c>
      <c r="K532" s="9" t="s">
        <v>32</v>
      </c>
      <c r="L532" s="20">
        <v>0.5</v>
      </c>
      <c r="M532" s="14">
        <v>0.5</v>
      </c>
      <c r="N532" s="14"/>
      <c r="O532" s="14"/>
      <c r="P532" s="14"/>
      <c r="AA532">
        <v>1</v>
      </c>
      <c r="AD532" s="14"/>
      <c r="AE532" s="14"/>
      <c r="AF532" t="s">
        <v>692</v>
      </c>
      <c r="AG532" t="s">
        <v>339</v>
      </c>
    </row>
    <row r="533" spans="1:34" x14ac:dyDescent="0.25">
      <c r="A533" s="10" t="s">
        <v>688</v>
      </c>
      <c r="B533" s="10"/>
      <c r="C533" s="10">
        <v>1</v>
      </c>
      <c r="D533" s="11">
        <v>42129</v>
      </c>
      <c r="E533" s="12">
        <v>43418</v>
      </c>
      <c r="F533" s="26" t="str">
        <f t="shared" si="16"/>
        <v>42 : 9</v>
      </c>
      <c r="G533" s="14">
        <f t="shared" si="17"/>
        <v>1289</v>
      </c>
      <c r="H533" s="9">
        <v>5</v>
      </c>
      <c r="I533" s="9">
        <v>3</v>
      </c>
      <c r="J533" s="9" t="s">
        <v>35</v>
      </c>
      <c r="K533" s="9" t="s">
        <v>35</v>
      </c>
      <c r="L533" s="20">
        <v>0.5</v>
      </c>
      <c r="M533" s="14">
        <v>0.5</v>
      </c>
      <c r="N533" s="14"/>
      <c r="O533" s="14"/>
      <c r="P533" s="14"/>
      <c r="AA533">
        <v>1</v>
      </c>
      <c r="AD533" s="14"/>
      <c r="AE533" s="14"/>
      <c r="AF533" t="s">
        <v>693</v>
      </c>
      <c r="AG533" t="s">
        <v>694</v>
      </c>
    </row>
    <row r="534" spans="1:34" x14ac:dyDescent="0.25">
      <c r="A534" s="10" t="s">
        <v>688</v>
      </c>
      <c r="B534" s="10"/>
      <c r="C534" s="10">
        <v>1</v>
      </c>
      <c r="D534" s="11">
        <v>42129</v>
      </c>
      <c r="E534" s="12">
        <v>43418</v>
      </c>
      <c r="F534" s="26" t="str">
        <f t="shared" si="16"/>
        <v>42 : 9</v>
      </c>
      <c r="G534" s="14">
        <f t="shared" si="17"/>
        <v>1289</v>
      </c>
      <c r="H534" s="9">
        <v>5</v>
      </c>
      <c r="I534" s="9">
        <v>2</v>
      </c>
      <c r="J534" s="9" t="s">
        <v>32</v>
      </c>
      <c r="K534" s="9" t="s">
        <v>33</v>
      </c>
      <c r="L534" s="20">
        <v>-0.5</v>
      </c>
      <c r="M534" s="14">
        <v>-0.5</v>
      </c>
      <c r="N534" s="14"/>
      <c r="O534" s="14"/>
      <c r="P534" s="14"/>
      <c r="AA534">
        <v>1</v>
      </c>
      <c r="AD534" s="14"/>
      <c r="AE534" s="14"/>
      <c r="AF534" t="s">
        <v>695</v>
      </c>
      <c r="AG534" t="s">
        <v>696</v>
      </c>
    </row>
    <row r="535" spans="1:34" x14ac:dyDescent="0.25">
      <c r="A535" s="10" t="s">
        <v>688</v>
      </c>
      <c r="B535" s="10"/>
      <c r="C535" s="10">
        <v>1</v>
      </c>
      <c r="D535" s="11">
        <v>42129</v>
      </c>
      <c r="E535" s="12">
        <v>43418</v>
      </c>
      <c r="F535" s="26" t="str">
        <f t="shared" si="16"/>
        <v>42 : 9</v>
      </c>
      <c r="G535" s="14">
        <f t="shared" si="17"/>
        <v>1289</v>
      </c>
      <c r="H535" s="9">
        <v>5</v>
      </c>
      <c r="I535" s="9">
        <v>1</v>
      </c>
      <c r="J535" s="9" t="s">
        <v>30</v>
      </c>
      <c r="K535" s="9" t="s">
        <v>30</v>
      </c>
      <c r="L535" s="20">
        <v>-0.5</v>
      </c>
      <c r="M535" s="14">
        <v>0.5</v>
      </c>
      <c r="N535" s="14"/>
      <c r="O535" s="14"/>
      <c r="P535" s="14"/>
      <c r="T535">
        <v>1</v>
      </c>
      <c r="V535" t="s">
        <v>197</v>
      </c>
      <c r="W535">
        <v>1</v>
      </c>
      <c r="Y535">
        <v>1</v>
      </c>
      <c r="AD535" s="14">
        <v>0</v>
      </c>
      <c r="AE535" s="14">
        <v>1</v>
      </c>
      <c r="AF535" t="s">
        <v>697</v>
      </c>
      <c r="AG535" t="s">
        <v>698</v>
      </c>
    </row>
    <row r="536" spans="1:34" x14ac:dyDescent="0.25">
      <c r="A536" s="10" t="s">
        <v>688</v>
      </c>
      <c r="B536" s="10"/>
      <c r="C536" s="10">
        <v>1</v>
      </c>
      <c r="D536" s="11">
        <v>42129</v>
      </c>
      <c r="E536" s="12">
        <v>43418</v>
      </c>
      <c r="F536" s="26" t="str">
        <f t="shared" si="16"/>
        <v>42 : 9</v>
      </c>
      <c r="G536" s="14">
        <f t="shared" si="17"/>
        <v>1289</v>
      </c>
      <c r="H536" s="9">
        <v>5</v>
      </c>
      <c r="I536" s="9">
        <v>12</v>
      </c>
      <c r="J536" s="9" t="s">
        <v>30</v>
      </c>
      <c r="K536" s="9" t="s">
        <v>39</v>
      </c>
      <c r="L536" s="20">
        <v>0.5</v>
      </c>
      <c r="M536" s="14">
        <v>-0.5</v>
      </c>
      <c r="N536" s="14"/>
      <c r="O536" s="14"/>
      <c r="P536" s="14"/>
      <c r="V536" t="s">
        <v>197</v>
      </c>
      <c r="W536">
        <v>1</v>
      </c>
      <c r="AD536" s="14">
        <v>0</v>
      </c>
      <c r="AE536" s="14">
        <v>0</v>
      </c>
      <c r="AG536" t="s">
        <v>699</v>
      </c>
    </row>
    <row r="537" spans="1:34" x14ac:dyDescent="0.25">
      <c r="A537" s="10" t="s">
        <v>688</v>
      </c>
      <c r="B537" s="10"/>
      <c r="C537" s="10">
        <v>1</v>
      </c>
      <c r="D537" s="11">
        <v>42129</v>
      </c>
      <c r="E537" s="12">
        <v>43418</v>
      </c>
      <c r="F537" s="26" t="str">
        <f t="shared" si="16"/>
        <v>42 : 9</v>
      </c>
      <c r="G537" s="14">
        <f t="shared" si="17"/>
        <v>1289</v>
      </c>
      <c r="H537" s="9">
        <v>5</v>
      </c>
      <c r="I537" s="9">
        <v>11</v>
      </c>
      <c r="J537" s="9" t="s">
        <v>40</v>
      </c>
      <c r="K537" s="9" t="s">
        <v>40</v>
      </c>
      <c r="L537" s="20">
        <v>-0.5</v>
      </c>
      <c r="M537" s="14">
        <v>0.5</v>
      </c>
      <c r="N537" s="14"/>
      <c r="O537" s="14"/>
      <c r="P537" s="14"/>
      <c r="U537">
        <v>1</v>
      </c>
      <c r="V537" t="s">
        <v>197</v>
      </c>
      <c r="W537">
        <v>1</v>
      </c>
      <c r="Y537">
        <v>1</v>
      </c>
      <c r="AD537" s="14">
        <v>0</v>
      </c>
      <c r="AE537" s="14">
        <v>1</v>
      </c>
      <c r="AF537" t="s">
        <v>700</v>
      </c>
      <c r="AG537" t="s">
        <v>701</v>
      </c>
    </row>
    <row r="538" spans="1:34" x14ac:dyDescent="0.25">
      <c r="A538" s="10" t="s">
        <v>688</v>
      </c>
      <c r="B538" s="10"/>
      <c r="C538" s="10">
        <v>1</v>
      </c>
      <c r="D538" s="11">
        <v>42129</v>
      </c>
      <c r="E538" s="12">
        <v>43418</v>
      </c>
      <c r="F538" s="26" t="str">
        <f t="shared" si="16"/>
        <v>42 : 9</v>
      </c>
      <c r="G538" s="14">
        <f t="shared" si="17"/>
        <v>1289</v>
      </c>
      <c r="H538" s="9">
        <v>5</v>
      </c>
      <c r="I538" s="9">
        <v>10</v>
      </c>
      <c r="J538" s="9" t="s">
        <v>33</v>
      </c>
      <c r="K538" s="9" t="s">
        <v>33</v>
      </c>
      <c r="L538" s="20">
        <v>0.5</v>
      </c>
      <c r="M538" s="14">
        <v>0.5</v>
      </c>
      <c r="N538" s="14"/>
      <c r="O538" s="14"/>
      <c r="P538" s="14"/>
      <c r="V538" t="s">
        <v>261</v>
      </c>
      <c r="W538">
        <v>1</v>
      </c>
      <c r="Y538">
        <v>1</v>
      </c>
      <c r="AA538">
        <v>1</v>
      </c>
      <c r="AD538" s="14"/>
      <c r="AE538" s="14"/>
      <c r="AF538" t="s">
        <v>702</v>
      </c>
      <c r="AG538" t="s">
        <v>703</v>
      </c>
    </row>
    <row r="539" spans="1:34" x14ac:dyDescent="0.25">
      <c r="A539" s="10" t="s">
        <v>688</v>
      </c>
      <c r="B539" s="10"/>
      <c r="C539" s="10">
        <v>1</v>
      </c>
      <c r="D539" s="11">
        <v>42129</v>
      </c>
      <c r="E539" s="12">
        <v>43418</v>
      </c>
      <c r="F539" s="26" t="str">
        <f t="shared" si="16"/>
        <v>42 : 9</v>
      </c>
      <c r="G539" s="14">
        <f t="shared" si="17"/>
        <v>1289</v>
      </c>
      <c r="H539" s="9">
        <v>5</v>
      </c>
      <c r="I539" s="9">
        <v>9</v>
      </c>
      <c r="J539" s="9" t="s">
        <v>40</v>
      </c>
      <c r="K539" s="9" t="s">
        <v>30</v>
      </c>
      <c r="L539" s="20">
        <v>0.5</v>
      </c>
      <c r="M539" s="14">
        <v>-0.5</v>
      </c>
      <c r="N539" s="14"/>
      <c r="O539" s="14"/>
      <c r="P539" s="14"/>
      <c r="R539">
        <v>1</v>
      </c>
      <c r="S539">
        <v>0</v>
      </c>
      <c r="V539" t="s">
        <v>197</v>
      </c>
      <c r="W539">
        <v>1</v>
      </c>
      <c r="Y539">
        <v>1</v>
      </c>
      <c r="AD539" s="14">
        <v>0</v>
      </c>
      <c r="AE539" s="14">
        <v>0</v>
      </c>
      <c r="AF539" t="s">
        <v>704</v>
      </c>
      <c r="AG539" t="s">
        <v>705</v>
      </c>
    </row>
    <row r="540" spans="1:34" x14ac:dyDescent="0.25">
      <c r="A540" s="10" t="s">
        <v>688</v>
      </c>
      <c r="B540" s="10"/>
      <c r="C540" s="10">
        <v>1</v>
      </c>
      <c r="D540" s="11">
        <v>42129</v>
      </c>
      <c r="E540" s="12">
        <v>43418</v>
      </c>
      <c r="F540" s="26" t="str">
        <f t="shared" si="16"/>
        <v>42 : 9</v>
      </c>
      <c r="G540" s="14">
        <f t="shared" si="17"/>
        <v>1289</v>
      </c>
      <c r="H540" s="9">
        <v>5</v>
      </c>
      <c r="I540" s="9">
        <v>8</v>
      </c>
      <c r="J540" s="9" t="s">
        <v>35</v>
      </c>
      <c r="K540" s="9" t="s">
        <v>32</v>
      </c>
      <c r="L540" s="20">
        <v>-0.5</v>
      </c>
      <c r="M540" s="14">
        <v>-0.5</v>
      </c>
      <c r="N540" s="14"/>
      <c r="O540" s="14"/>
      <c r="P540" s="14"/>
      <c r="S540">
        <v>0</v>
      </c>
      <c r="Y540">
        <v>1</v>
      </c>
      <c r="AD540" s="14">
        <v>1</v>
      </c>
      <c r="AE540" s="14">
        <v>0</v>
      </c>
      <c r="AF540" t="s">
        <v>706</v>
      </c>
      <c r="AG540" t="s">
        <v>707</v>
      </c>
      <c r="AH540" t="s">
        <v>708</v>
      </c>
    </row>
    <row r="541" spans="1:34" x14ac:dyDescent="0.25">
      <c r="A541" s="10" t="s">
        <v>688</v>
      </c>
      <c r="B541" s="10"/>
      <c r="C541" s="10">
        <v>1</v>
      </c>
      <c r="D541" s="11">
        <v>42129</v>
      </c>
      <c r="E541" s="12">
        <v>43418</v>
      </c>
      <c r="F541" s="26" t="str">
        <f t="shared" si="16"/>
        <v>42 : 9</v>
      </c>
      <c r="G541" s="14">
        <f t="shared" si="17"/>
        <v>1289</v>
      </c>
      <c r="H541" s="9">
        <v>5</v>
      </c>
      <c r="I541" s="9">
        <v>7</v>
      </c>
      <c r="J541" s="9" t="s">
        <v>39</v>
      </c>
      <c r="K541" s="9" t="s">
        <v>39</v>
      </c>
      <c r="L541" s="20">
        <v>-0.5</v>
      </c>
      <c r="M541" s="14">
        <v>0.5</v>
      </c>
      <c r="N541" s="14"/>
      <c r="O541" s="14"/>
      <c r="P541" s="14"/>
      <c r="R541">
        <v>1</v>
      </c>
      <c r="S541" s="16">
        <v>1</v>
      </c>
      <c r="V541" t="s">
        <v>197</v>
      </c>
      <c r="W541">
        <v>1</v>
      </c>
      <c r="Y541">
        <v>1</v>
      </c>
      <c r="AD541" s="14">
        <v>0</v>
      </c>
      <c r="AE541" s="14">
        <v>1</v>
      </c>
      <c r="AF541" t="s">
        <v>709</v>
      </c>
      <c r="AG541" t="s">
        <v>710</v>
      </c>
      <c r="AH541" t="s">
        <v>711</v>
      </c>
    </row>
    <row r="542" spans="1:34" x14ac:dyDescent="0.25">
      <c r="A542" s="3" t="s">
        <v>712</v>
      </c>
      <c r="C542" s="3">
        <v>1</v>
      </c>
      <c r="D542" s="4">
        <v>42137</v>
      </c>
      <c r="E542" s="5">
        <v>43440</v>
      </c>
      <c r="F542" s="25" t="str">
        <f t="shared" si="16"/>
        <v>42 : 23</v>
      </c>
      <c r="G542">
        <f t="shared" si="17"/>
        <v>1303</v>
      </c>
      <c r="H542" s="9">
        <v>1</v>
      </c>
      <c r="I542" s="9">
        <v>1</v>
      </c>
      <c r="J542" s="9" t="s">
        <v>30</v>
      </c>
      <c r="K542" s="9" t="s">
        <v>30</v>
      </c>
      <c r="L542" s="15">
        <v>-0.5</v>
      </c>
      <c r="M542" s="14">
        <v>0.5</v>
      </c>
      <c r="N542" s="14"/>
      <c r="O542" s="14"/>
      <c r="P542" s="14"/>
      <c r="AD542" s="14">
        <v>0</v>
      </c>
      <c r="AE542" s="14">
        <v>1</v>
      </c>
      <c r="AG542" t="s">
        <v>31</v>
      </c>
    </row>
    <row r="543" spans="1:34" x14ac:dyDescent="0.25">
      <c r="A543" s="3" t="s">
        <v>712</v>
      </c>
      <c r="C543" s="3">
        <v>1</v>
      </c>
      <c r="D543" s="4">
        <v>42137</v>
      </c>
      <c r="E543" s="5">
        <v>43440</v>
      </c>
      <c r="F543" s="25" t="str">
        <f t="shared" si="16"/>
        <v>42 : 23</v>
      </c>
      <c r="G543">
        <f t="shared" si="17"/>
        <v>1303</v>
      </c>
      <c r="H543" s="9">
        <v>1</v>
      </c>
      <c r="I543" s="9">
        <v>2</v>
      </c>
      <c r="J543" s="9" t="s">
        <v>32</v>
      </c>
      <c r="K543" s="9" t="s">
        <v>30</v>
      </c>
      <c r="L543" s="15">
        <v>-0.5</v>
      </c>
      <c r="M543" s="14">
        <v>-0.5</v>
      </c>
      <c r="N543" s="14">
        <v>1</v>
      </c>
      <c r="O543" s="14"/>
      <c r="P543" s="14"/>
      <c r="AD543" s="14">
        <v>0</v>
      </c>
      <c r="AE543" s="14">
        <v>1</v>
      </c>
      <c r="AF543" t="s">
        <v>713</v>
      </c>
      <c r="AG543" t="s">
        <v>714</v>
      </c>
    </row>
    <row r="544" spans="1:34" x14ac:dyDescent="0.25">
      <c r="A544" s="3" t="s">
        <v>712</v>
      </c>
      <c r="C544" s="3">
        <v>1</v>
      </c>
      <c r="D544" s="4">
        <v>42137</v>
      </c>
      <c r="E544" s="5">
        <v>43440</v>
      </c>
      <c r="F544" s="25" t="str">
        <f t="shared" si="16"/>
        <v>42 : 23</v>
      </c>
      <c r="G544">
        <f t="shared" si="17"/>
        <v>1303</v>
      </c>
      <c r="H544" s="9">
        <v>1</v>
      </c>
      <c r="I544" s="9">
        <v>3</v>
      </c>
      <c r="J544" s="9" t="s">
        <v>35</v>
      </c>
      <c r="K544" s="9" t="s">
        <v>35</v>
      </c>
      <c r="L544" s="15">
        <v>0.5</v>
      </c>
      <c r="M544" s="14">
        <v>0.5</v>
      </c>
      <c r="N544" s="14"/>
      <c r="O544" s="14"/>
      <c r="P544" s="14"/>
      <c r="AD544" s="14">
        <v>0</v>
      </c>
      <c r="AE544" s="14">
        <v>0</v>
      </c>
      <c r="AG544" t="s">
        <v>45</v>
      </c>
    </row>
    <row r="545" spans="1:34" x14ac:dyDescent="0.25">
      <c r="A545" s="3" t="s">
        <v>712</v>
      </c>
      <c r="C545" s="3">
        <v>1</v>
      </c>
      <c r="D545" s="4">
        <v>42137</v>
      </c>
      <c r="E545" s="5">
        <v>43440</v>
      </c>
      <c r="F545" s="25" t="str">
        <f t="shared" si="16"/>
        <v>42 : 23</v>
      </c>
      <c r="G545">
        <f t="shared" si="17"/>
        <v>1303</v>
      </c>
      <c r="H545" s="9">
        <v>1</v>
      </c>
      <c r="I545" s="9">
        <v>4</v>
      </c>
      <c r="J545" s="9" t="s">
        <v>32</v>
      </c>
      <c r="K545" s="9" t="s">
        <v>32</v>
      </c>
      <c r="L545" s="15">
        <v>0.5</v>
      </c>
      <c r="M545" s="14">
        <v>0.5</v>
      </c>
      <c r="N545" s="14"/>
      <c r="O545" s="14"/>
      <c r="P545" s="14"/>
      <c r="AD545" s="14">
        <v>0</v>
      </c>
      <c r="AE545" s="14">
        <v>0</v>
      </c>
      <c r="AG545" t="s">
        <v>51</v>
      </c>
    </row>
    <row r="546" spans="1:34" x14ac:dyDescent="0.25">
      <c r="A546" s="3" t="s">
        <v>712</v>
      </c>
      <c r="C546" s="3">
        <v>1</v>
      </c>
      <c r="D546" s="4">
        <v>42137</v>
      </c>
      <c r="E546" s="5">
        <v>43440</v>
      </c>
      <c r="F546" s="25" t="str">
        <f t="shared" si="16"/>
        <v>42 : 23</v>
      </c>
      <c r="G546">
        <f t="shared" si="17"/>
        <v>1303</v>
      </c>
      <c r="H546" s="9">
        <v>1</v>
      </c>
      <c r="I546" s="9">
        <v>5</v>
      </c>
      <c r="J546" s="9" t="s">
        <v>33</v>
      </c>
      <c r="K546" s="9" t="s">
        <v>35</v>
      </c>
      <c r="L546" s="15">
        <v>-0.5</v>
      </c>
      <c r="M546" s="14">
        <v>-0.5</v>
      </c>
      <c r="N546" s="14"/>
      <c r="O546" s="14"/>
      <c r="P546" s="14"/>
      <c r="AD546" s="14">
        <v>0</v>
      </c>
      <c r="AE546" s="14">
        <v>1</v>
      </c>
      <c r="AG546" t="s">
        <v>715</v>
      </c>
    </row>
    <row r="547" spans="1:34" x14ac:dyDescent="0.25">
      <c r="A547" s="3" t="s">
        <v>712</v>
      </c>
      <c r="C547" s="3">
        <v>1</v>
      </c>
      <c r="D547" s="4">
        <v>42137</v>
      </c>
      <c r="E547" s="5">
        <v>43440</v>
      </c>
      <c r="F547" s="25" t="str">
        <f t="shared" si="16"/>
        <v>42 : 23</v>
      </c>
      <c r="G547">
        <f t="shared" si="17"/>
        <v>1303</v>
      </c>
      <c r="H547" s="9">
        <v>1</v>
      </c>
      <c r="I547" s="9">
        <v>6</v>
      </c>
      <c r="J547" s="9" t="s">
        <v>39</v>
      </c>
      <c r="K547" s="9" t="s">
        <v>40</v>
      </c>
      <c r="L547" s="15">
        <v>0.5</v>
      </c>
      <c r="M547" s="14">
        <v>-0.5</v>
      </c>
      <c r="N547" s="14"/>
      <c r="O547" s="14"/>
      <c r="P547" s="14"/>
      <c r="R547">
        <v>1</v>
      </c>
      <c r="S547" s="16">
        <v>1</v>
      </c>
      <c r="Y547">
        <v>1</v>
      </c>
      <c r="AD547" s="14">
        <v>0</v>
      </c>
      <c r="AE547" s="14">
        <v>0</v>
      </c>
      <c r="AF547" t="s">
        <v>716</v>
      </c>
      <c r="AG547" t="s">
        <v>41</v>
      </c>
      <c r="AH547" t="s">
        <v>717</v>
      </c>
    </row>
    <row r="548" spans="1:34" x14ac:dyDescent="0.25">
      <c r="A548" s="3" t="s">
        <v>712</v>
      </c>
      <c r="C548" s="3">
        <v>1</v>
      </c>
      <c r="D548" s="4">
        <v>42137</v>
      </c>
      <c r="E548" s="5">
        <v>43440</v>
      </c>
      <c r="F548" s="25" t="str">
        <f t="shared" si="16"/>
        <v>42 : 23</v>
      </c>
      <c r="G548">
        <f t="shared" si="17"/>
        <v>1303</v>
      </c>
      <c r="H548" s="9">
        <v>1</v>
      </c>
      <c r="I548" s="9">
        <v>7</v>
      </c>
      <c r="J548" s="9" t="s">
        <v>39</v>
      </c>
      <c r="K548" s="9" t="s">
        <v>39</v>
      </c>
      <c r="L548" s="15">
        <v>-0.5</v>
      </c>
      <c r="M548" s="14">
        <v>0.5</v>
      </c>
      <c r="N548" s="14"/>
      <c r="O548" s="14"/>
      <c r="P548" s="14"/>
      <c r="AD548" s="14">
        <v>0</v>
      </c>
      <c r="AE548" s="14">
        <v>1</v>
      </c>
      <c r="AG548" t="s">
        <v>42</v>
      </c>
    </row>
    <row r="549" spans="1:34" x14ac:dyDescent="0.25">
      <c r="A549" s="3" t="s">
        <v>712</v>
      </c>
      <c r="C549" s="3">
        <v>1</v>
      </c>
      <c r="D549" s="4">
        <v>42137</v>
      </c>
      <c r="E549" s="5">
        <v>43440</v>
      </c>
      <c r="F549" s="25" t="str">
        <f t="shared" si="16"/>
        <v>42 : 23</v>
      </c>
      <c r="G549">
        <f t="shared" si="17"/>
        <v>1303</v>
      </c>
      <c r="H549" s="9">
        <v>1</v>
      </c>
      <c r="I549" s="9">
        <v>8</v>
      </c>
      <c r="J549" s="9" t="s">
        <v>35</v>
      </c>
      <c r="K549" s="9" t="s">
        <v>32</v>
      </c>
      <c r="L549" s="15">
        <v>-0.5</v>
      </c>
      <c r="M549" s="14">
        <v>-0.5</v>
      </c>
      <c r="N549" s="14"/>
      <c r="O549" s="14"/>
      <c r="P549" s="14"/>
      <c r="AD549" s="14">
        <v>0</v>
      </c>
      <c r="AE549" s="14">
        <v>1</v>
      </c>
      <c r="AF549" t="s">
        <v>718</v>
      </c>
      <c r="AG549" t="s">
        <v>51</v>
      </c>
    </row>
    <row r="550" spans="1:34" x14ac:dyDescent="0.25">
      <c r="A550" s="3" t="s">
        <v>712</v>
      </c>
      <c r="C550" s="3">
        <v>1</v>
      </c>
      <c r="D550" s="4">
        <v>42137</v>
      </c>
      <c r="E550" s="5">
        <v>43440</v>
      </c>
      <c r="F550" s="25" t="str">
        <f t="shared" si="16"/>
        <v>42 : 23</v>
      </c>
      <c r="G550">
        <f t="shared" si="17"/>
        <v>1303</v>
      </c>
      <c r="H550" s="9">
        <v>1</v>
      </c>
      <c r="I550" s="9">
        <v>9</v>
      </c>
      <c r="J550" s="9" t="s">
        <v>40</v>
      </c>
      <c r="K550" s="9" t="s">
        <v>30</v>
      </c>
      <c r="L550" s="15">
        <v>0.5</v>
      </c>
      <c r="M550" s="14">
        <v>-0.5</v>
      </c>
      <c r="N550" s="14"/>
      <c r="O550" s="14"/>
      <c r="P550" s="14"/>
      <c r="AD550" s="14">
        <v>0</v>
      </c>
      <c r="AE550" s="14">
        <v>0</v>
      </c>
      <c r="AG550" t="s">
        <v>719</v>
      </c>
    </row>
    <row r="551" spans="1:34" x14ac:dyDescent="0.25">
      <c r="A551" s="3" t="s">
        <v>712</v>
      </c>
      <c r="C551" s="3">
        <v>1</v>
      </c>
      <c r="D551" s="4">
        <v>42137</v>
      </c>
      <c r="E551" s="5">
        <v>43440</v>
      </c>
      <c r="F551" s="25" t="str">
        <f t="shared" si="16"/>
        <v>42 : 23</v>
      </c>
      <c r="G551">
        <f t="shared" si="17"/>
        <v>1303</v>
      </c>
      <c r="H551" s="9">
        <v>1</v>
      </c>
      <c r="I551" s="9">
        <v>10</v>
      </c>
      <c r="J551" s="9" t="s">
        <v>33</v>
      </c>
      <c r="K551" s="9" t="s">
        <v>33</v>
      </c>
      <c r="L551" s="15">
        <v>0.5</v>
      </c>
      <c r="M551" s="14">
        <v>0.5</v>
      </c>
      <c r="N551" s="14"/>
      <c r="O551" s="14"/>
      <c r="P551" s="14"/>
      <c r="AD551" s="14">
        <v>0</v>
      </c>
      <c r="AE551" s="14">
        <v>0</v>
      </c>
      <c r="AG551" t="s">
        <v>45</v>
      </c>
    </row>
    <row r="552" spans="1:34" x14ac:dyDescent="0.25">
      <c r="A552" s="3" t="s">
        <v>712</v>
      </c>
      <c r="C552" s="3">
        <v>1</v>
      </c>
      <c r="D552" s="4">
        <v>42137</v>
      </c>
      <c r="E552" s="5">
        <v>43440</v>
      </c>
      <c r="F552" s="25" t="str">
        <f t="shared" si="16"/>
        <v>42 : 23</v>
      </c>
      <c r="G552">
        <f t="shared" si="17"/>
        <v>1303</v>
      </c>
      <c r="H552" s="9">
        <v>1</v>
      </c>
      <c r="I552" s="9">
        <v>11</v>
      </c>
      <c r="J552" s="9" t="s">
        <v>40</v>
      </c>
      <c r="K552" s="9" t="s">
        <v>40</v>
      </c>
      <c r="L552" s="15">
        <v>-0.5</v>
      </c>
      <c r="M552" s="14">
        <v>0.5</v>
      </c>
      <c r="N552" s="14"/>
      <c r="O552" s="14"/>
      <c r="P552" s="14"/>
      <c r="AD552" s="14">
        <v>0</v>
      </c>
      <c r="AE552" s="14">
        <v>1</v>
      </c>
      <c r="AG552" t="s">
        <v>481</v>
      </c>
    </row>
    <row r="553" spans="1:34" x14ac:dyDescent="0.25">
      <c r="A553" s="3" t="s">
        <v>712</v>
      </c>
      <c r="C553" s="3">
        <v>1</v>
      </c>
      <c r="D553" s="4">
        <v>42137</v>
      </c>
      <c r="E553" s="5">
        <v>43440</v>
      </c>
      <c r="F553" s="25" t="str">
        <f t="shared" si="16"/>
        <v>42 : 23</v>
      </c>
      <c r="G553">
        <f t="shared" si="17"/>
        <v>1303</v>
      </c>
      <c r="H553" s="9">
        <v>1</v>
      </c>
      <c r="I553" s="9">
        <v>12</v>
      </c>
      <c r="J553" s="9" t="s">
        <v>30</v>
      </c>
      <c r="K553" s="9" t="s">
        <v>39</v>
      </c>
      <c r="L553" s="15">
        <v>0.5</v>
      </c>
      <c r="M553" s="14">
        <v>-0.5</v>
      </c>
      <c r="N553" s="14"/>
      <c r="O553" s="14"/>
      <c r="P553" s="14"/>
      <c r="AD553" s="14">
        <v>0</v>
      </c>
      <c r="AE553" s="14">
        <v>0</v>
      </c>
      <c r="AG553" t="s">
        <v>720</v>
      </c>
    </row>
    <row r="554" spans="1:34" x14ac:dyDescent="0.25">
      <c r="A554" s="10" t="s">
        <v>721</v>
      </c>
      <c r="B554" s="10"/>
      <c r="C554" s="10">
        <v>0</v>
      </c>
      <c r="D554" s="11">
        <v>42129</v>
      </c>
      <c r="E554" s="12">
        <v>43437</v>
      </c>
      <c r="F554" s="26" t="str">
        <f t="shared" ref="F554:F617" si="18">DATEDIF(D554,E554,"M")&amp;" : "&amp;DATEDIF(D554,E554,"MD")</f>
        <v>42 : 28</v>
      </c>
      <c r="G554" s="14">
        <f t="shared" ref="G554:G617" si="19">DATEDIF(D554,E554,"D")</f>
        <v>1308</v>
      </c>
      <c r="H554" s="9">
        <v>7</v>
      </c>
      <c r="I554" s="9">
        <v>6</v>
      </c>
      <c r="J554" s="9" t="s">
        <v>39</v>
      </c>
      <c r="K554" s="9" t="s">
        <v>40</v>
      </c>
      <c r="L554" s="20">
        <v>-0.5</v>
      </c>
      <c r="M554" s="14">
        <v>-0.5</v>
      </c>
      <c r="N554" s="14"/>
      <c r="O554" s="14"/>
      <c r="P554" s="14"/>
      <c r="AD554" s="14">
        <v>0</v>
      </c>
      <c r="AE554" s="14">
        <v>1</v>
      </c>
      <c r="AG554" t="s">
        <v>722</v>
      </c>
    </row>
    <row r="555" spans="1:34" x14ac:dyDescent="0.25">
      <c r="A555" s="10" t="s">
        <v>721</v>
      </c>
      <c r="B555" s="10"/>
      <c r="C555" s="10">
        <v>0</v>
      </c>
      <c r="D555" s="11">
        <v>42129</v>
      </c>
      <c r="E555" s="12">
        <v>43437</v>
      </c>
      <c r="F555" s="26" t="str">
        <f t="shared" si="18"/>
        <v>42 : 28</v>
      </c>
      <c r="G555" s="14">
        <f t="shared" si="19"/>
        <v>1308</v>
      </c>
      <c r="H555" s="9">
        <v>7</v>
      </c>
      <c r="I555" s="9">
        <v>5</v>
      </c>
      <c r="J555" s="9" t="s">
        <v>33</v>
      </c>
      <c r="K555" s="9" t="s">
        <v>35</v>
      </c>
      <c r="L555" s="20">
        <v>0.5</v>
      </c>
      <c r="M555" s="14">
        <v>-0.5</v>
      </c>
      <c r="N555" s="14"/>
      <c r="O555" s="14"/>
      <c r="P555" s="14"/>
      <c r="AD555" s="14">
        <v>0</v>
      </c>
      <c r="AE555" s="14">
        <v>0</v>
      </c>
      <c r="AG555" t="s">
        <v>84</v>
      </c>
    </row>
    <row r="556" spans="1:34" x14ac:dyDescent="0.25">
      <c r="A556" s="10" t="s">
        <v>721</v>
      </c>
      <c r="B556" s="10"/>
      <c r="C556" s="10">
        <v>0</v>
      </c>
      <c r="D556" s="11">
        <v>42129</v>
      </c>
      <c r="E556" s="12">
        <v>43437</v>
      </c>
      <c r="F556" s="26" t="str">
        <f t="shared" si="18"/>
        <v>42 : 28</v>
      </c>
      <c r="G556" s="14">
        <f t="shared" si="19"/>
        <v>1308</v>
      </c>
      <c r="H556" s="9">
        <v>7</v>
      </c>
      <c r="I556" s="9">
        <v>4</v>
      </c>
      <c r="J556" s="9" t="s">
        <v>32</v>
      </c>
      <c r="K556" s="9" t="s">
        <v>32</v>
      </c>
      <c r="L556" s="20">
        <v>-0.5</v>
      </c>
      <c r="M556" s="14">
        <v>0.5</v>
      </c>
      <c r="N556" s="14"/>
      <c r="O556" s="14"/>
      <c r="P556" s="14"/>
      <c r="R556">
        <v>1</v>
      </c>
      <c r="S556">
        <v>1</v>
      </c>
      <c r="Y556">
        <v>1</v>
      </c>
      <c r="AD556" s="14">
        <v>0</v>
      </c>
      <c r="AE556" s="14">
        <v>1</v>
      </c>
      <c r="AF556" t="s">
        <v>723</v>
      </c>
      <c r="AG556" t="s">
        <v>305</v>
      </c>
    </row>
    <row r="557" spans="1:34" x14ac:dyDescent="0.25">
      <c r="A557" s="10" t="s">
        <v>721</v>
      </c>
      <c r="B557" s="10"/>
      <c r="C557" s="10">
        <v>0</v>
      </c>
      <c r="D557" s="11">
        <v>42129</v>
      </c>
      <c r="E557" s="12">
        <v>43437</v>
      </c>
      <c r="F557" s="26" t="str">
        <f t="shared" si="18"/>
        <v>42 : 28</v>
      </c>
      <c r="G557" s="14">
        <f t="shared" si="19"/>
        <v>1308</v>
      </c>
      <c r="H557" s="9">
        <v>7</v>
      </c>
      <c r="I557" s="9">
        <v>3</v>
      </c>
      <c r="J557" s="9" t="s">
        <v>35</v>
      </c>
      <c r="K557" s="9" t="s">
        <v>35</v>
      </c>
      <c r="L557" s="20">
        <v>-0.5</v>
      </c>
      <c r="M557" s="14">
        <v>0.5</v>
      </c>
      <c r="N557" s="14"/>
      <c r="O557" s="14"/>
      <c r="P557" s="14"/>
      <c r="AD557" s="14">
        <v>0</v>
      </c>
      <c r="AE557" s="14">
        <v>1</v>
      </c>
      <c r="AG557" t="s">
        <v>45</v>
      </c>
    </row>
    <row r="558" spans="1:34" x14ac:dyDescent="0.25">
      <c r="A558" s="10" t="s">
        <v>721</v>
      </c>
      <c r="B558" s="10"/>
      <c r="C558" s="10">
        <v>0</v>
      </c>
      <c r="D558" s="11">
        <v>42129</v>
      </c>
      <c r="E558" s="12">
        <v>43437</v>
      </c>
      <c r="F558" s="26" t="str">
        <f t="shared" si="18"/>
        <v>42 : 28</v>
      </c>
      <c r="G558" s="14">
        <f t="shared" si="19"/>
        <v>1308</v>
      </c>
      <c r="H558" s="9">
        <v>7</v>
      </c>
      <c r="I558" s="9">
        <v>2</v>
      </c>
      <c r="J558" s="9" t="s">
        <v>32</v>
      </c>
      <c r="K558" s="9" t="s">
        <v>33</v>
      </c>
      <c r="L558" s="20">
        <v>0.5</v>
      </c>
      <c r="M558" s="14">
        <v>-0.5</v>
      </c>
      <c r="N558" s="14"/>
      <c r="O558" s="14"/>
      <c r="P558" s="14"/>
      <c r="AD558" s="14">
        <v>0</v>
      </c>
      <c r="AE558" s="14">
        <v>0</v>
      </c>
      <c r="AG558" t="s">
        <v>307</v>
      </c>
    </row>
    <row r="559" spans="1:34" x14ac:dyDescent="0.25">
      <c r="A559" s="10" t="s">
        <v>721</v>
      </c>
      <c r="B559" s="10"/>
      <c r="C559" s="10">
        <v>0</v>
      </c>
      <c r="D559" s="11">
        <v>42129</v>
      </c>
      <c r="E559" s="12">
        <v>43437</v>
      </c>
      <c r="F559" s="26" t="str">
        <f t="shared" si="18"/>
        <v>42 : 28</v>
      </c>
      <c r="G559" s="14">
        <f t="shared" si="19"/>
        <v>1308</v>
      </c>
      <c r="H559" s="9">
        <v>7</v>
      </c>
      <c r="I559" s="9">
        <v>1</v>
      </c>
      <c r="J559" s="9" t="s">
        <v>30</v>
      </c>
      <c r="K559" s="9" t="s">
        <v>30</v>
      </c>
      <c r="L559" s="20">
        <v>0.5</v>
      </c>
      <c r="M559" s="14">
        <v>0.5</v>
      </c>
      <c r="N559" s="14"/>
      <c r="O559" s="14"/>
      <c r="P559" s="14"/>
      <c r="AD559" s="14">
        <v>0</v>
      </c>
      <c r="AE559" s="14">
        <v>0</v>
      </c>
      <c r="AF559" t="s">
        <v>724</v>
      </c>
      <c r="AG559" t="s">
        <v>53</v>
      </c>
      <c r="AH559" t="s">
        <v>725</v>
      </c>
    </row>
    <row r="560" spans="1:34" x14ac:dyDescent="0.25">
      <c r="A560" s="10" t="s">
        <v>721</v>
      </c>
      <c r="B560" s="10"/>
      <c r="C560" s="10">
        <v>0</v>
      </c>
      <c r="D560" s="11">
        <v>42129</v>
      </c>
      <c r="E560" s="12">
        <v>43437</v>
      </c>
      <c r="F560" s="26" t="str">
        <f t="shared" si="18"/>
        <v>42 : 28</v>
      </c>
      <c r="G560" s="14">
        <f t="shared" si="19"/>
        <v>1308</v>
      </c>
      <c r="H560" s="9">
        <v>7</v>
      </c>
      <c r="I560" s="9">
        <v>12</v>
      </c>
      <c r="J560" s="9" t="s">
        <v>30</v>
      </c>
      <c r="K560" s="9" t="s">
        <v>39</v>
      </c>
      <c r="L560" s="20">
        <v>-0.5</v>
      </c>
      <c r="M560" s="14">
        <v>-0.5</v>
      </c>
      <c r="N560" s="14"/>
      <c r="O560" s="14"/>
      <c r="P560" s="14"/>
      <c r="AD560" s="14">
        <v>0</v>
      </c>
      <c r="AE560" s="14">
        <v>1</v>
      </c>
      <c r="AG560" t="s">
        <v>266</v>
      </c>
    </row>
    <row r="561" spans="1:34" x14ac:dyDescent="0.25">
      <c r="A561" s="10" t="s">
        <v>721</v>
      </c>
      <c r="B561" s="10"/>
      <c r="C561" s="10">
        <v>0</v>
      </c>
      <c r="D561" s="11">
        <v>42129</v>
      </c>
      <c r="E561" s="12">
        <v>43437</v>
      </c>
      <c r="F561" s="26" t="str">
        <f t="shared" si="18"/>
        <v>42 : 28</v>
      </c>
      <c r="G561" s="14">
        <f t="shared" si="19"/>
        <v>1308</v>
      </c>
      <c r="H561" s="9">
        <v>7</v>
      </c>
      <c r="I561" s="9">
        <v>11</v>
      </c>
      <c r="J561" s="9" t="s">
        <v>40</v>
      </c>
      <c r="K561" s="9" t="s">
        <v>40</v>
      </c>
      <c r="L561" s="20">
        <v>0.5</v>
      </c>
      <c r="M561" s="14">
        <v>0.5</v>
      </c>
      <c r="N561" s="14"/>
      <c r="O561" s="14"/>
      <c r="P561" s="14"/>
      <c r="S561">
        <v>0</v>
      </c>
      <c r="AD561" s="14">
        <v>0</v>
      </c>
      <c r="AE561" s="14">
        <v>0</v>
      </c>
      <c r="AF561" t="s">
        <v>726</v>
      </c>
      <c r="AG561" t="s">
        <v>138</v>
      </c>
    </row>
    <row r="562" spans="1:34" x14ac:dyDescent="0.25">
      <c r="A562" s="10" t="s">
        <v>721</v>
      </c>
      <c r="B562" s="10"/>
      <c r="C562" s="10">
        <v>0</v>
      </c>
      <c r="D562" s="11">
        <v>42129</v>
      </c>
      <c r="E562" s="12">
        <v>43437</v>
      </c>
      <c r="F562" s="26" t="str">
        <f t="shared" si="18"/>
        <v>42 : 28</v>
      </c>
      <c r="G562" s="14">
        <f t="shared" si="19"/>
        <v>1308</v>
      </c>
      <c r="H562" s="9">
        <v>7</v>
      </c>
      <c r="I562" s="9">
        <v>10</v>
      </c>
      <c r="J562" s="9" t="s">
        <v>33</v>
      </c>
      <c r="K562" s="9" t="s">
        <v>33</v>
      </c>
      <c r="L562" s="20">
        <v>-0.5</v>
      </c>
      <c r="M562" s="14">
        <v>0.5</v>
      </c>
      <c r="N562" s="14"/>
      <c r="O562" s="14"/>
      <c r="P562" s="14"/>
      <c r="S562">
        <v>0</v>
      </c>
      <c r="Y562">
        <v>1</v>
      </c>
      <c r="AD562" s="14">
        <v>0</v>
      </c>
      <c r="AE562" s="14">
        <v>1</v>
      </c>
      <c r="AF562" t="s">
        <v>727</v>
      </c>
      <c r="AG562" t="s">
        <v>45</v>
      </c>
    </row>
    <row r="563" spans="1:34" x14ac:dyDescent="0.25">
      <c r="A563" s="10" t="s">
        <v>721</v>
      </c>
      <c r="B563" s="10"/>
      <c r="C563" s="10">
        <v>0</v>
      </c>
      <c r="D563" s="11">
        <v>42129</v>
      </c>
      <c r="E563" s="12">
        <v>43437</v>
      </c>
      <c r="F563" s="26" t="str">
        <f t="shared" si="18"/>
        <v>42 : 28</v>
      </c>
      <c r="G563" s="14">
        <f t="shared" si="19"/>
        <v>1308</v>
      </c>
      <c r="H563" s="9">
        <v>7</v>
      </c>
      <c r="I563" s="9">
        <v>9</v>
      </c>
      <c r="J563" s="9" t="s">
        <v>40</v>
      </c>
      <c r="K563" s="9" t="s">
        <v>30</v>
      </c>
      <c r="L563" s="20">
        <v>-0.5</v>
      </c>
      <c r="M563" s="14">
        <v>-0.5</v>
      </c>
      <c r="N563" s="14"/>
      <c r="O563" s="14"/>
      <c r="P563" s="14"/>
      <c r="AD563" s="14">
        <v>0</v>
      </c>
      <c r="AE563" s="14">
        <v>1</v>
      </c>
      <c r="AG563" t="s">
        <v>728</v>
      </c>
    </row>
    <row r="564" spans="1:34" x14ac:dyDescent="0.25">
      <c r="A564" s="10" t="s">
        <v>721</v>
      </c>
      <c r="B564" s="10"/>
      <c r="C564" s="10">
        <v>0</v>
      </c>
      <c r="D564" s="11">
        <v>42129</v>
      </c>
      <c r="E564" s="12">
        <v>43437</v>
      </c>
      <c r="F564" s="26" t="str">
        <f t="shared" si="18"/>
        <v>42 : 28</v>
      </c>
      <c r="G564" s="14">
        <f t="shared" si="19"/>
        <v>1308</v>
      </c>
      <c r="H564" s="9">
        <v>7</v>
      </c>
      <c r="I564" s="9">
        <v>8</v>
      </c>
      <c r="J564" s="9" t="s">
        <v>35</v>
      </c>
      <c r="K564" s="9" t="s">
        <v>32</v>
      </c>
      <c r="L564" s="20">
        <v>0.5</v>
      </c>
      <c r="M564" s="14">
        <v>-0.5</v>
      </c>
      <c r="N564" s="14"/>
      <c r="O564" s="14"/>
      <c r="P564" s="14"/>
      <c r="R564">
        <v>1</v>
      </c>
      <c r="S564">
        <v>1</v>
      </c>
      <c r="Y564">
        <v>1</v>
      </c>
      <c r="AD564" s="14">
        <v>0</v>
      </c>
      <c r="AE564" s="14">
        <v>0</v>
      </c>
      <c r="AF564" t="s">
        <v>729</v>
      </c>
      <c r="AG564" t="s">
        <v>139</v>
      </c>
    </row>
    <row r="565" spans="1:34" x14ac:dyDescent="0.25">
      <c r="A565" s="10" t="s">
        <v>721</v>
      </c>
      <c r="B565" s="10"/>
      <c r="C565" s="10">
        <v>0</v>
      </c>
      <c r="D565" s="11">
        <v>42129</v>
      </c>
      <c r="E565" s="12">
        <v>43437</v>
      </c>
      <c r="F565" s="26" t="str">
        <f t="shared" si="18"/>
        <v>42 : 28</v>
      </c>
      <c r="G565" s="14">
        <f t="shared" si="19"/>
        <v>1308</v>
      </c>
      <c r="H565" s="9">
        <v>7</v>
      </c>
      <c r="I565" s="9">
        <v>7</v>
      </c>
      <c r="J565" s="9" t="s">
        <v>39</v>
      </c>
      <c r="K565" s="9" t="s">
        <v>39</v>
      </c>
      <c r="L565" s="20">
        <v>0.5</v>
      </c>
      <c r="M565" s="14">
        <v>0.5</v>
      </c>
      <c r="N565" s="14"/>
      <c r="O565" s="14"/>
      <c r="P565" s="14"/>
      <c r="AD565" s="14">
        <v>0</v>
      </c>
      <c r="AE565" s="14">
        <v>0</v>
      </c>
      <c r="AF565" t="s">
        <v>730</v>
      </c>
      <c r="AG565" t="s">
        <v>67</v>
      </c>
    </row>
    <row r="566" spans="1:34" x14ac:dyDescent="0.25">
      <c r="A566" s="3" t="s">
        <v>731</v>
      </c>
      <c r="C566" s="3">
        <v>0</v>
      </c>
      <c r="D566" s="4">
        <v>42144</v>
      </c>
      <c r="E566" s="5">
        <v>43444</v>
      </c>
      <c r="F566" s="25" t="str">
        <f t="shared" si="18"/>
        <v>42 : 20</v>
      </c>
      <c r="G566">
        <f t="shared" si="19"/>
        <v>1300</v>
      </c>
      <c r="H566" s="22">
        <v>2</v>
      </c>
      <c r="I566" s="9" t="s">
        <v>97</v>
      </c>
      <c r="J566" s="9" t="s">
        <v>30</v>
      </c>
      <c r="K566" s="9" t="s">
        <v>30</v>
      </c>
      <c r="L566" s="20">
        <v>-0.5</v>
      </c>
      <c r="M566" s="14">
        <v>0.5</v>
      </c>
      <c r="N566" s="14"/>
      <c r="O566" s="14"/>
      <c r="P566" s="14"/>
      <c r="AD566" s="14">
        <v>0</v>
      </c>
      <c r="AE566" s="14">
        <v>1</v>
      </c>
      <c r="AG566" t="s">
        <v>590</v>
      </c>
      <c r="AH566" t="s">
        <v>732</v>
      </c>
    </row>
    <row r="567" spans="1:34" x14ac:dyDescent="0.25">
      <c r="A567" s="3" t="s">
        <v>731</v>
      </c>
      <c r="C567" s="3">
        <v>0</v>
      </c>
      <c r="D567" s="4">
        <v>42144</v>
      </c>
      <c r="E567" s="5">
        <v>43444</v>
      </c>
      <c r="F567" s="25" t="str">
        <f t="shared" si="18"/>
        <v>42 : 20</v>
      </c>
      <c r="G567">
        <f t="shared" si="19"/>
        <v>1300</v>
      </c>
      <c r="H567" s="22">
        <v>2</v>
      </c>
      <c r="I567" s="9" t="s">
        <v>148</v>
      </c>
      <c r="J567" s="9" t="s">
        <v>33</v>
      </c>
      <c r="K567" s="9" t="s">
        <v>32</v>
      </c>
      <c r="L567" s="20">
        <v>-0.5</v>
      </c>
      <c r="M567" s="14">
        <v>-0.5</v>
      </c>
      <c r="N567" s="14"/>
      <c r="O567" s="14"/>
      <c r="P567" s="14"/>
      <c r="AD567" s="14">
        <v>1</v>
      </c>
      <c r="AE567" s="14">
        <v>0</v>
      </c>
      <c r="AF567" t="s">
        <v>733</v>
      </c>
      <c r="AG567" t="s">
        <v>275</v>
      </c>
      <c r="AH567" t="s">
        <v>734</v>
      </c>
    </row>
    <row r="568" spans="1:34" x14ac:dyDescent="0.25">
      <c r="A568" s="3" t="s">
        <v>731</v>
      </c>
      <c r="C568" s="3">
        <v>0</v>
      </c>
      <c r="D568" s="4">
        <v>42144</v>
      </c>
      <c r="E568" s="5">
        <v>43444</v>
      </c>
      <c r="F568" s="25" t="str">
        <f t="shared" si="18"/>
        <v>42 : 20</v>
      </c>
      <c r="G568">
        <f t="shared" si="19"/>
        <v>1300</v>
      </c>
      <c r="H568" s="22">
        <v>2</v>
      </c>
      <c r="I568" s="9" t="s">
        <v>147</v>
      </c>
      <c r="J568" s="9" t="s">
        <v>35</v>
      </c>
      <c r="K568" s="9" t="s">
        <v>35</v>
      </c>
      <c r="L568" s="20">
        <v>0.5</v>
      </c>
      <c r="M568" s="14">
        <v>0.5</v>
      </c>
      <c r="N568" s="14"/>
      <c r="O568" s="14"/>
      <c r="P568" s="14"/>
      <c r="U568" t="s">
        <v>441</v>
      </c>
      <c r="V568">
        <v>1</v>
      </c>
      <c r="AA568">
        <v>1</v>
      </c>
      <c r="AD568" s="14"/>
      <c r="AE568" s="14"/>
      <c r="AG568" t="s">
        <v>735</v>
      </c>
    </row>
    <row r="569" spans="1:34" x14ac:dyDescent="0.25">
      <c r="A569" s="3" t="s">
        <v>731</v>
      </c>
      <c r="C569" s="3">
        <v>0</v>
      </c>
      <c r="D569" s="4">
        <v>42144</v>
      </c>
      <c r="E569" s="5">
        <v>43444</v>
      </c>
      <c r="F569" s="25" t="str">
        <f t="shared" si="18"/>
        <v>42 : 20</v>
      </c>
      <c r="G569">
        <f t="shared" si="19"/>
        <v>1300</v>
      </c>
      <c r="H569" s="22">
        <v>2</v>
      </c>
      <c r="I569" s="9" t="s">
        <v>146</v>
      </c>
      <c r="J569" s="9" t="s">
        <v>32</v>
      </c>
      <c r="K569" s="9" t="s">
        <v>32</v>
      </c>
      <c r="L569" s="20">
        <v>0.5</v>
      </c>
      <c r="M569" s="14">
        <v>0.5</v>
      </c>
      <c r="N569" s="14"/>
      <c r="O569" s="14"/>
      <c r="P569" s="14"/>
      <c r="R569">
        <v>1</v>
      </c>
      <c r="Y569">
        <v>1</v>
      </c>
      <c r="AD569" s="14">
        <v>0</v>
      </c>
      <c r="AE569" s="14">
        <v>0</v>
      </c>
      <c r="AF569" t="s">
        <v>736</v>
      </c>
      <c r="AG569" t="s">
        <v>41</v>
      </c>
    </row>
    <row r="570" spans="1:34" x14ac:dyDescent="0.25">
      <c r="A570" s="3" t="s">
        <v>731</v>
      </c>
      <c r="C570" s="3">
        <v>0</v>
      </c>
      <c r="D570" s="4">
        <v>42144</v>
      </c>
      <c r="E570" s="5">
        <v>43444</v>
      </c>
      <c r="F570" s="25" t="str">
        <f t="shared" si="18"/>
        <v>42 : 20</v>
      </c>
      <c r="G570">
        <f t="shared" si="19"/>
        <v>1300</v>
      </c>
      <c r="H570" s="22">
        <v>2</v>
      </c>
      <c r="I570" s="9" t="s">
        <v>145</v>
      </c>
      <c r="J570" s="9" t="s">
        <v>35</v>
      </c>
      <c r="K570" s="9" t="s">
        <v>33</v>
      </c>
      <c r="L570" s="20">
        <v>-0.5</v>
      </c>
      <c r="M570" s="14">
        <v>-0.5</v>
      </c>
      <c r="N570" s="14"/>
      <c r="O570" s="14"/>
      <c r="P570" s="14"/>
      <c r="S570">
        <v>0</v>
      </c>
      <c r="T570">
        <v>1</v>
      </c>
      <c r="AD570" s="14">
        <v>0</v>
      </c>
      <c r="AE570" s="14">
        <v>1</v>
      </c>
      <c r="AF570" t="s">
        <v>737</v>
      </c>
      <c r="AG570" t="s">
        <v>738</v>
      </c>
    </row>
    <row r="571" spans="1:34" x14ac:dyDescent="0.25">
      <c r="A571" s="3" t="s">
        <v>731</v>
      </c>
      <c r="C571" s="3">
        <v>0</v>
      </c>
      <c r="D571" s="4">
        <v>42144</v>
      </c>
      <c r="E571" s="5">
        <v>43444</v>
      </c>
      <c r="F571" s="25" t="str">
        <f t="shared" si="18"/>
        <v>42 : 20</v>
      </c>
      <c r="G571">
        <f t="shared" si="19"/>
        <v>1300</v>
      </c>
      <c r="H571" s="22">
        <v>2</v>
      </c>
      <c r="I571" s="9" t="s">
        <v>143</v>
      </c>
      <c r="J571" s="9" t="s">
        <v>40</v>
      </c>
      <c r="K571" s="9" t="s">
        <v>39</v>
      </c>
      <c r="L571" s="20">
        <v>0.5</v>
      </c>
      <c r="M571" s="14">
        <v>-0.5</v>
      </c>
      <c r="N571" s="14"/>
      <c r="O571" s="14"/>
      <c r="P571" s="14"/>
      <c r="AD571" s="14">
        <v>0</v>
      </c>
      <c r="AE571" s="14">
        <v>0</v>
      </c>
      <c r="AG571" t="s">
        <v>354</v>
      </c>
    </row>
    <row r="572" spans="1:34" x14ac:dyDescent="0.25">
      <c r="A572" s="3" t="s">
        <v>731</v>
      </c>
      <c r="C572" s="3">
        <v>0</v>
      </c>
      <c r="D572" s="4">
        <v>42144</v>
      </c>
      <c r="E572" s="5">
        <v>43444</v>
      </c>
      <c r="F572" s="25" t="str">
        <f t="shared" si="18"/>
        <v>42 : 20</v>
      </c>
      <c r="G572">
        <f t="shared" si="19"/>
        <v>1300</v>
      </c>
      <c r="H572" s="22">
        <v>2</v>
      </c>
      <c r="I572" s="9" t="s">
        <v>158</v>
      </c>
      <c r="J572" s="9" t="s">
        <v>39</v>
      </c>
      <c r="K572" s="9" t="s">
        <v>39</v>
      </c>
      <c r="L572" s="20">
        <v>-0.5</v>
      </c>
      <c r="M572" s="14">
        <v>0.5</v>
      </c>
      <c r="N572" s="14"/>
      <c r="O572" s="14"/>
      <c r="P572" s="14"/>
      <c r="AD572" s="14">
        <v>0</v>
      </c>
      <c r="AE572" s="14">
        <v>1</v>
      </c>
      <c r="AG572" t="s">
        <v>739</v>
      </c>
    </row>
    <row r="573" spans="1:34" x14ac:dyDescent="0.25">
      <c r="A573" s="3" t="s">
        <v>731</v>
      </c>
      <c r="C573" s="3">
        <v>0</v>
      </c>
      <c r="D573" s="4">
        <v>42144</v>
      </c>
      <c r="E573" s="5">
        <v>43444</v>
      </c>
      <c r="F573" s="25" t="str">
        <f t="shared" si="18"/>
        <v>42 : 20</v>
      </c>
      <c r="G573">
        <f t="shared" si="19"/>
        <v>1300</v>
      </c>
      <c r="H573" s="22">
        <v>2</v>
      </c>
      <c r="I573" s="9" t="s">
        <v>157</v>
      </c>
      <c r="J573" s="9" t="s">
        <v>32</v>
      </c>
      <c r="K573" s="9" t="s">
        <v>35</v>
      </c>
      <c r="L573" s="20">
        <v>-0.5</v>
      </c>
      <c r="M573" s="14">
        <v>-0.5</v>
      </c>
      <c r="N573" s="14"/>
      <c r="O573" s="14"/>
      <c r="P573" s="14"/>
      <c r="R573">
        <v>1</v>
      </c>
      <c r="S573">
        <v>1</v>
      </c>
      <c r="AD573" s="14">
        <v>0</v>
      </c>
      <c r="AE573" s="14">
        <v>1</v>
      </c>
      <c r="AF573" t="s">
        <v>740</v>
      </c>
      <c r="AG573" t="s">
        <v>342</v>
      </c>
    </row>
    <row r="574" spans="1:34" x14ac:dyDescent="0.25">
      <c r="A574" s="3" t="s">
        <v>731</v>
      </c>
      <c r="C574" s="3">
        <v>0</v>
      </c>
      <c r="D574" s="4">
        <v>42144</v>
      </c>
      <c r="E574" s="5">
        <v>43444</v>
      </c>
      <c r="F574" s="25" t="str">
        <f t="shared" si="18"/>
        <v>42 : 20</v>
      </c>
      <c r="G574">
        <f t="shared" si="19"/>
        <v>1300</v>
      </c>
      <c r="H574" s="22">
        <v>2</v>
      </c>
      <c r="I574" s="9" t="s">
        <v>156</v>
      </c>
      <c r="J574" s="9" t="s">
        <v>30</v>
      </c>
      <c r="K574" s="9" t="s">
        <v>40</v>
      </c>
      <c r="L574" s="20">
        <v>0.5</v>
      </c>
      <c r="M574" s="14">
        <v>-0.5</v>
      </c>
      <c r="N574" s="14"/>
      <c r="O574" s="14"/>
      <c r="P574" s="14"/>
      <c r="Q574">
        <v>1</v>
      </c>
      <c r="AD574" s="14">
        <v>0</v>
      </c>
      <c r="AE574" s="14">
        <v>0</v>
      </c>
      <c r="AF574" t="s">
        <v>741</v>
      </c>
      <c r="AG574" t="s">
        <v>53</v>
      </c>
    </row>
    <row r="575" spans="1:34" x14ac:dyDescent="0.25">
      <c r="A575" s="3" t="s">
        <v>731</v>
      </c>
      <c r="C575" s="3">
        <v>0</v>
      </c>
      <c r="D575" s="4">
        <v>42144</v>
      </c>
      <c r="E575" s="5">
        <v>43444</v>
      </c>
      <c r="F575" s="25" t="str">
        <f t="shared" si="18"/>
        <v>42 : 20</v>
      </c>
      <c r="G575">
        <f t="shared" si="19"/>
        <v>1300</v>
      </c>
      <c r="H575" s="22">
        <v>2</v>
      </c>
      <c r="I575" s="9" t="s">
        <v>155</v>
      </c>
      <c r="J575" s="9" t="s">
        <v>33</v>
      </c>
      <c r="K575" s="9" t="s">
        <v>33</v>
      </c>
      <c r="L575" s="20">
        <v>0.5</v>
      </c>
      <c r="M575" s="14">
        <v>0.5</v>
      </c>
      <c r="N575" s="14"/>
      <c r="O575" s="14"/>
      <c r="P575" s="14"/>
      <c r="AD575" s="14">
        <v>0</v>
      </c>
      <c r="AE575" s="14">
        <v>0</v>
      </c>
      <c r="AG575" t="s">
        <v>217</v>
      </c>
    </row>
    <row r="576" spans="1:34" x14ac:dyDescent="0.25">
      <c r="A576" s="3" t="s">
        <v>731</v>
      </c>
      <c r="C576" s="3">
        <v>0</v>
      </c>
      <c r="D576" s="4">
        <v>42144</v>
      </c>
      <c r="E576" s="5">
        <v>43444</v>
      </c>
      <c r="F576" s="25" t="str">
        <f t="shared" si="18"/>
        <v>42 : 20</v>
      </c>
      <c r="G576">
        <f t="shared" si="19"/>
        <v>1300</v>
      </c>
      <c r="H576" s="22">
        <v>2</v>
      </c>
      <c r="I576" s="9" t="s">
        <v>154</v>
      </c>
      <c r="J576" s="9" t="s">
        <v>40</v>
      </c>
      <c r="K576" s="9" t="s">
        <v>40</v>
      </c>
      <c r="L576" s="20">
        <v>-0.5</v>
      </c>
      <c r="M576" s="14">
        <v>0.5</v>
      </c>
      <c r="N576" s="14"/>
      <c r="O576" s="14"/>
      <c r="P576" s="14"/>
      <c r="AD576" s="14">
        <v>0</v>
      </c>
      <c r="AE576" s="14">
        <v>1</v>
      </c>
      <c r="AG576" t="s">
        <v>742</v>
      </c>
    </row>
    <row r="577" spans="1:34" x14ac:dyDescent="0.25">
      <c r="A577" s="3" t="s">
        <v>731</v>
      </c>
      <c r="C577" s="3">
        <v>0</v>
      </c>
      <c r="D577" s="4">
        <v>42144</v>
      </c>
      <c r="E577" s="5">
        <v>43444</v>
      </c>
      <c r="F577" s="25" t="str">
        <f t="shared" si="18"/>
        <v>42 : 20</v>
      </c>
      <c r="G577">
        <f t="shared" si="19"/>
        <v>1300</v>
      </c>
      <c r="H577" s="22">
        <v>2</v>
      </c>
      <c r="I577" s="9" t="s">
        <v>153</v>
      </c>
      <c r="J577" s="9" t="s">
        <v>39</v>
      </c>
      <c r="K577" s="9" t="s">
        <v>30</v>
      </c>
      <c r="L577" s="20">
        <v>0.5</v>
      </c>
      <c r="M577" s="14">
        <v>-0.5</v>
      </c>
      <c r="N577" s="14"/>
      <c r="O577" s="14"/>
      <c r="P577" s="14"/>
      <c r="AD577" s="14">
        <v>0</v>
      </c>
      <c r="AE577" s="14">
        <v>0</v>
      </c>
      <c r="AG577" t="s">
        <v>313</v>
      </c>
    </row>
    <row r="578" spans="1:34" x14ac:dyDescent="0.25">
      <c r="A578" s="3" t="s">
        <v>743</v>
      </c>
      <c r="C578" s="3">
        <v>0</v>
      </c>
      <c r="D578" s="4">
        <v>42148</v>
      </c>
      <c r="E578" s="5">
        <v>43448</v>
      </c>
      <c r="F578" s="25" t="str">
        <f t="shared" si="18"/>
        <v>42 : 20</v>
      </c>
      <c r="G578">
        <f t="shared" si="19"/>
        <v>1300</v>
      </c>
      <c r="H578" s="7">
        <v>3</v>
      </c>
      <c r="I578" s="7">
        <v>1</v>
      </c>
      <c r="J578" s="7" t="s">
        <v>30</v>
      </c>
      <c r="K578" s="7" t="s">
        <v>30</v>
      </c>
      <c r="L578" s="8">
        <v>0.5</v>
      </c>
      <c r="M578">
        <v>0.5</v>
      </c>
      <c r="Y578">
        <v>1</v>
      </c>
      <c r="AA578">
        <v>1</v>
      </c>
      <c r="AB578">
        <v>1</v>
      </c>
      <c r="AD578" s="6"/>
      <c r="AE578" s="6"/>
      <c r="AF578" t="s">
        <v>744</v>
      </c>
      <c r="AG578" t="s">
        <v>175</v>
      </c>
    </row>
    <row r="579" spans="1:34" x14ac:dyDescent="0.25">
      <c r="A579" s="3" t="s">
        <v>743</v>
      </c>
      <c r="C579" s="3">
        <v>0</v>
      </c>
      <c r="D579" s="4">
        <v>42148</v>
      </c>
      <c r="E579" s="5">
        <v>43448</v>
      </c>
      <c r="F579" s="25" t="str">
        <f t="shared" si="18"/>
        <v>42 : 20</v>
      </c>
      <c r="G579">
        <f t="shared" si="19"/>
        <v>1300</v>
      </c>
      <c r="H579" s="7">
        <v>3</v>
      </c>
      <c r="I579" s="7">
        <v>2</v>
      </c>
      <c r="J579" s="7" t="s">
        <v>32</v>
      </c>
      <c r="K579" s="7" t="s">
        <v>33</v>
      </c>
      <c r="L579" s="8">
        <v>0.5</v>
      </c>
      <c r="M579">
        <v>-0.5</v>
      </c>
      <c r="R579">
        <v>1</v>
      </c>
      <c r="S579">
        <v>1</v>
      </c>
      <c r="U579">
        <v>1</v>
      </c>
      <c r="Y579">
        <v>1</v>
      </c>
      <c r="AD579" s="6">
        <v>0</v>
      </c>
      <c r="AE579" s="6">
        <v>0</v>
      </c>
      <c r="AF579" t="s">
        <v>745</v>
      </c>
      <c r="AG579" t="s">
        <v>746</v>
      </c>
    </row>
    <row r="580" spans="1:34" x14ac:dyDescent="0.25">
      <c r="A580" s="3" t="s">
        <v>743</v>
      </c>
      <c r="C580" s="3">
        <v>0</v>
      </c>
      <c r="D580" s="4">
        <v>42148</v>
      </c>
      <c r="E580" s="5">
        <v>43448</v>
      </c>
      <c r="F580" s="25" t="str">
        <f t="shared" si="18"/>
        <v>42 : 20</v>
      </c>
      <c r="G580">
        <f t="shared" si="19"/>
        <v>1300</v>
      </c>
      <c r="H580" s="7">
        <v>3</v>
      </c>
      <c r="I580" s="7">
        <v>3</v>
      </c>
      <c r="J580" s="7" t="s">
        <v>35</v>
      </c>
      <c r="K580" s="9" t="s">
        <v>35</v>
      </c>
      <c r="L580" s="8">
        <v>-0.5</v>
      </c>
      <c r="M580">
        <v>0.5</v>
      </c>
      <c r="AD580">
        <v>0</v>
      </c>
      <c r="AE580">
        <v>1</v>
      </c>
      <c r="AG580" t="s">
        <v>45</v>
      </c>
    </row>
    <row r="581" spans="1:34" x14ac:dyDescent="0.25">
      <c r="A581" s="3" t="s">
        <v>743</v>
      </c>
      <c r="C581" s="3">
        <v>0</v>
      </c>
      <c r="D581" s="4">
        <v>42148</v>
      </c>
      <c r="E581" s="5">
        <v>43448</v>
      </c>
      <c r="F581" s="25" t="str">
        <f t="shared" si="18"/>
        <v>42 : 20</v>
      </c>
      <c r="G581">
        <f t="shared" si="19"/>
        <v>1300</v>
      </c>
      <c r="H581" s="7">
        <v>3</v>
      </c>
      <c r="I581" s="7">
        <v>4</v>
      </c>
      <c r="J581" s="7" t="s">
        <v>32</v>
      </c>
      <c r="K581" s="9" t="s">
        <v>32</v>
      </c>
      <c r="L581" s="8">
        <v>-0.5</v>
      </c>
      <c r="M581">
        <v>0.5</v>
      </c>
      <c r="R581">
        <v>1</v>
      </c>
      <c r="Y581">
        <v>1</v>
      </c>
      <c r="AD581">
        <v>0</v>
      </c>
      <c r="AE581">
        <v>1</v>
      </c>
      <c r="AF581" t="s">
        <v>747</v>
      </c>
      <c r="AG581" t="s">
        <v>34</v>
      </c>
    </row>
    <row r="582" spans="1:34" x14ac:dyDescent="0.25">
      <c r="A582" s="3" t="s">
        <v>743</v>
      </c>
      <c r="C582" s="3">
        <v>0</v>
      </c>
      <c r="D582" s="4">
        <v>42148</v>
      </c>
      <c r="E582" s="5">
        <v>43448</v>
      </c>
      <c r="F582" s="25" t="str">
        <f t="shared" si="18"/>
        <v>42 : 20</v>
      </c>
      <c r="G582">
        <f t="shared" si="19"/>
        <v>1300</v>
      </c>
      <c r="H582" s="7">
        <v>3</v>
      </c>
      <c r="I582" s="7">
        <v>5</v>
      </c>
      <c r="J582" s="7" t="s">
        <v>33</v>
      </c>
      <c r="K582" s="9" t="s">
        <v>35</v>
      </c>
      <c r="L582" s="8">
        <v>0.5</v>
      </c>
      <c r="M582">
        <v>-0.5</v>
      </c>
      <c r="Z582">
        <v>1</v>
      </c>
      <c r="AA582">
        <v>1</v>
      </c>
      <c r="AF582" t="s">
        <v>748</v>
      </c>
      <c r="AG582" t="s">
        <v>749</v>
      </c>
    </row>
    <row r="583" spans="1:34" x14ac:dyDescent="0.25">
      <c r="A583" s="3" t="s">
        <v>743</v>
      </c>
      <c r="C583" s="3">
        <v>0</v>
      </c>
      <c r="D583" s="4">
        <v>42148</v>
      </c>
      <c r="E583" s="5">
        <v>43448</v>
      </c>
      <c r="F583" s="25" t="str">
        <f t="shared" si="18"/>
        <v>42 : 20</v>
      </c>
      <c r="G583">
        <f t="shared" si="19"/>
        <v>1300</v>
      </c>
      <c r="H583" s="7">
        <v>3</v>
      </c>
      <c r="I583" s="7">
        <v>6</v>
      </c>
      <c r="J583" s="7" t="s">
        <v>39</v>
      </c>
      <c r="K583" s="9" t="s">
        <v>750</v>
      </c>
      <c r="L583" s="8">
        <v>-0.5</v>
      </c>
      <c r="M583">
        <v>-0.5</v>
      </c>
      <c r="N583">
        <v>1</v>
      </c>
      <c r="R583">
        <v>1</v>
      </c>
      <c r="S583">
        <v>1</v>
      </c>
      <c r="Y583">
        <v>1</v>
      </c>
      <c r="AF583" t="s">
        <v>751</v>
      </c>
      <c r="AG583" t="s">
        <v>752</v>
      </c>
    </row>
    <row r="584" spans="1:34" x14ac:dyDescent="0.25">
      <c r="A584" s="3" t="s">
        <v>743</v>
      </c>
      <c r="C584" s="3">
        <v>0</v>
      </c>
      <c r="D584" s="4">
        <v>42148</v>
      </c>
      <c r="E584" s="5">
        <v>43448</v>
      </c>
      <c r="F584" s="25" t="str">
        <f t="shared" si="18"/>
        <v>42 : 20</v>
      </c>
      <c r="G584">
        <f t="shared" si="19"/>
        <v>1300</v>
      </c>
      <c r="H584" s="7">
        <v>3</v>
      </c>
      <c r="I584" s="7">
        <v>7</v>
      </c>
      <c r="J584" s="7" t="s">
        <v>39</v>
      </c>
      <c r="K584" s="9" t="s">
        <v>39</v>
      </c>
      <c r="L584" s="8">
        <v>0.5</v>
      </c>
      <c r="M584">
        <v>0.5</v>
      </c>
      <c r="AD584">
        <v>0</v>
      </c>
      <c r="AE584">
        <v>0</v>
      </c>
      <c r="AF584" t="s">
        <v>753</v>
      </c>
      <c r="AG584" t="s">
        <v>754</v>
      </c>
    </row>
    <row r="585" spans="1:34" x14ac:dyDescent="0.25">
      <c r="A585" s="3" t="s">
        <v>743</v>
      </c>
      <c r="C585" s="3">
        <v>0</v>
      </c>
      <c r="D585" s="4">
        <v>42148</v>
      </c>
      <c r="E585" s="5">
        <v>43448</v>
      </c>
      <c r="F585" s="25" t="str">
        <f t="shared" si="18"/>
        <v>42 : 20</v>
      </c>
      <c r="G585">
        <f t="shared" si="19"/>
        <v>1300</v>
      </c>
      <c r="H585" s="7">
        <v>3</v>
      </c>
      <c r="I585" s="7">
        <v>8</v>
      </c>
      <c r="J585" s="7" t="s">
        <v>35</v>
      </c>
      <c r="K585" s="9" t="s">
        <v>32</v>
      </c>
      <c r="L585" s="8">
        <v>0.5</v>
      </c>
      <c r="M585">
        <v>-0.5</v>
      </c>
      <c r="S585">
        <v>1</v>
      </c>
      <c r="Y585">
        <v>1</v>
      </c>
      <c r="AA585">
        <v>1</v>
      </c>
      <c r="AF585" t="s">
        <v>755</v>
      </c>
      <c r="AG585" t="s">
        <v>756</v>
      </c>
    </row>
    <row r="586" spans="1:34" x14ac:dyDescent="0.25">
      <c r="A586" s="3" t="s">
        <v>743</v>
      </c>
      <c r="C586" s="3">
        <v>0</v>
      </c>
      <c r="D586" s="4">
        <v>42148</v>
      </c>
      <c r="E586" s="5">
        <v>43448</v>
      </c>
      <c r="F586" s="25" t="str">
        <f t="shared" si="18"/>
        <v>42 : 20</v>
      </c>
      <c r="G586">
        <f t="shared" si="19"/>
        <v>1300</v>
      </c>
      <c r="H586" s="7">
        <v>3</v>
      </c>
      <c r="I586" s="7">
        <v>9</v>
      </c>
      <c r="J586" s="7" t="s">
        <v>40</v>
      </c>
      <c r="K586" s="9" t="s">
        <v>30</v>
      </c>
      <c r="L586" s="8">
        <v>-0.5</v>
      </c>
      <c r="M586">
        <v>-0.5</v>
      </c>
      <c r="Y586">
        <v>1</v>
      </c>
      <c r="AA586">
        <v>1</v>
      </c>
      <c r="AF586" t="s">
        <v>757</v>
      </c>
      <c r="AG586" t="s">
        <v>758</v>
      </c>
    </row>
    <row r="587" spans="1:34" x14ac:dyDescent="0.25">
      <c r="A587" s="3" t="s">
        <v>743</v>
      </c>
      <c r="C587" s="3">
        <v>0</v>
      </c>
      <c r="D587" s="4">
        <v>42148</v>
      </c>
      <c r="E587" s="5">
        <v>43448</v>
      </c>
      <c r="F587" s="25" t="str">
        <f t="shared" si="18"/>
        <v>42 : 20</v>
      </c>
      <c r="G587">
        <f t="shared" si="19"/>
        <v>1300</v>
      </c>
      <c r="H587" s="7">
        <v>3</v>
      </c>
      <c r="I587" s="7">
        <v>10</v>
      </c>
      <c r="J587" s="7" t="s">
        <v>33</v>
      </c>
      <c r="K587" s="9" t="s">
        <v>33</v>
      </c>
      <c r="L587" s="8">
        <v>-0.5</v>
      </c>
      <c r="M587">
        <v>0.5</v>
      </c>
      <c r="AD587">
        <v>0</v>
      </c>
      <c r="AE587">
        <v>1</v>
      </c>
      <c r="AG587" t="s">
        <v>759</v>
      </c>
    </row>
    <row r="588" spans="1:34" x14ac:dyDescent="0.25">
      <c r="A588" s="3" t="s">
        <v>743</v>
      </c>
      <c r="C588" s="3">
        <v>0</v>
      </c>
      <c r="D588" s="4">
        <v>42148</v>
      </c>
      <c r="E588" s="5">
        <v>43448</v>
      </c>
      <c r="F588" s="25" t="str">
        <f t="shared" si="18"/>
        <v>42 : 20</v>
      </c>
      <c r="G588">
        <f t="shared" si="19"/>
        <v>1300</v>
      </c>
      <c r="H588" s="7">
        <v>3</v>
      </c>
      <c r="I588" s="7">
        <v>11</v>
      </c>
      <c r="J588" s="7" t="s">
        <v>40</v>
      </c>
      <c r="K588" s="9" t="s">
        <v>40</v>
      </c>
      <c r="L588" s="8">
        <v>0.5</v>
      </c>
      <c r="M588">
        <v>0.5</v>
      </c>
      <c r="Z588">
        <v>1</v>
      </c>
      <c r="AA588">
        <v>1</v>
      </c>
      <c r="AF588" t="s">
        <v>760</v>
      </c>
      <c r="AG588" t="s">
        <v>761</v>
      </c>
    </row>
    <row r="589" spans="1:34" x14ac:dyDescent="0.25">
      <c r="A589" s="3" t="s">
        <v>743</v>
      </c>
      <c r="C589" s="3">
        <v>0</v>
      </c>
      <c r="D589" s="4">
        <v>42148</v>
      </c>
      <c r="E589" s="5">
        <v>43448</v>
      </c>
      <c r="F589" s="25" t="str">
        <f t="shared" si="18"/>
        <v>42 : 20</v>
      </c>
      <c r="G589">
        <f t="shared" si="19"/>
        <v>1300</v>
      </c>
      <c r="H589" s="7">
        <v>3</v>
      </c>
      <c r="I589" s="7">
        <v>12</v>
      </c>
      <c r="J589" s="7" t="s">
        <v>30</v>
      </c>
      <c r="K589" s="9" t="s">
        <v>39</v>
      </c>
      <c r="L589" s="8">
        <v>-0.5</v>
      </c>
      <c r="M589">
        <v>-0.5</v>
      </c>
      <c r="AD589">
        <v>0</v>
      </c>
      <c r="AE589">
        <v>1</v>
      </c>
      <c r="AG589" t="s">
        <v>762</v>
      </c>
    </row>
    <row r="590" spans="1:34" x14ac:dyDescent="0.25">
      <c r="A590" s="3" t="s">
        <v>763</v>
      </c>
      <c r="C590" s="3">
        <v>0</v>
      </c>
      <c r="D590" s="4">
        <v>42169</v>
      </c>
      <c r="E590" s="5">
        <v>43472</v>
      </c>
      <c r="F590" s="25" t="str">
        <f t="shared" si="18"/>
        <v>42 : 24</v>
      </c>
      <c r="G590">
        <f t="shared" si="19"/>
        <v>1303</v>
      </c>
      <c r="H590" s="7">
        <v>7</v>
      </c>
      <c r="I590" s="7">
        <v>6</v>
      </c>
      <c r="J590" s="7" t="s">
        <v>39</v>
      </c>
      <c r="K590" s="7" t="s">
        <v>764</v>
      </c>
      <c r="L590" s="19">
        <v>-0.5</v>
      </c>
      <c r="M590">
        <v>-0.5</v>
      </c>
      <c r="N590">
        <v>1</v>
      </c>
      <c r="AA590">
        <v>1</v>
      </c>
      <c r="AF590" t="s">
        <v>765</v>
      </c>
      <c r="AG590" t="s">
        <v>766</v>
      </c>
      <c r="AH590" t="s">
        <v>280</v>
      </c>
    </row>
    <row r="591" spans="1:34" x14ac:dyDescent="0.25">
      <c r="A591" s="3" t="s">
        <v>763</v>
      </c>
      <c r="C591" s="3">
        <v>0</v>
      </c>
      <c r="D591" s="4">
        <v>42169</v>
      </c>
      <c r="E591" s="5">
        <v>43472</v>
      </c>
      <c r="F591" s="25" t="str">
        <f t="shared" si="18"/>
        <v>42 : 24</v>
      </c>
      <c r="G591">
        <f t="shared" si="19"/>
        <v>1303</v>
      </c>
      <c r="H591" s="7">
        <v>7</v>
      </c>
      <c r="I591" s="7">
        <v>5</v>
      </c>
      <c r="J591" s="7" t="s">
        <v>33</v>
      </c>
      <c r="K591" s="7" t="s">
        <v>35</v>
      </c>
      <c r="L591" s="19">
        <v>0.5</v>
      </c>
      <c r="M591">
        <v>-0.5</v>
      </c>
      <c r="AD591">
        <v>0</v>
      </c>
      <c r="AE591">
        <v>0</v>
      </c>
      <c r="AG591" t="s">
        <v>358</v>
      </c>
      <c r="AH591" t="s">
        <v>280</v>
      </c>
    </row>
    <row r="592" spans="1:34" x14ac:dyDescent="0.25">
      <c r="A592" s="3" t="s">
        <v>763</v>
      </c>
      <c r="C592" s="3">
        <v>0</v>
      </c>
      <c r="D592" s="4">
        <v>42169</v>
      </c>
      <c r="E592" s="5">
        <v>43472</v>
      </c>
      <c r="F592" s="25" t="str">
        <f t="shared" si="18"/>
        <v>42 : 24</v>
      </c>
      <c r="G592">
        <f t="shared" si="19"/>
        <v>1303</v>
      </c>
      <c r="H592" s="7">
        <v>7</v>
      </c>
      <c r="I592" s="7">
        <v>4</v>
      </c>
      <c r="J592" s="7" t="s">
        <v>32</v>
      </c>
      <c r="K592" s="7" t="s">
        <v>32</v>
      </c>
      <c r="L592" s="19">
        <v>-0.5</v>
      </c>
      <c r="M592">
        <v>0.5</v>
      </c>
      <c r="AD592">
        <v>0</v>
      </c>
      <c r="AE592">
        <v>1</v>
      </c>
      <c r="AG592" t="s">
        <v>767</v>
      </c>
    </row>
    <row r="593" spans="1:34" x14ac:dyDescent="0.25">
      <c r="A593" s="3" t="s">
        <v>763</v>
      </c>
      <c r="C593" s="3">
        <v>0</v>
      </c>
      <c r="D593" s="4">
        <v>42169</v>
      </c>
      <c r="E593" s="5">
        <v>43472</v>
      </c>
      <c r="F593" s="25" t="str">
        <f t="shared" si="18"/>
        <v>42 : 24</v>
      </c>
      <c r="G593">
        <f t="shared" si="19"/>
        <v>1303</v>
      </c>
      <c r="H593" s="7">
        <v>7</v>
      </c>
      <c r="I593" s="7">
        <v>3</v>
      </c>
      <c r="J593" s="7" t="s">
        <v>35</v>
      </c>
      <c r="K593" s="9" t="s">
        <v>35</v>
      </c>
      <c r="L593" s="19">
        <v>-0.5</v>
      </c>
      <c r="M593">
        <v>0.5</v>
      </c>
      <c r="AD593">
        <v>0</v>
      </c>
      <c r="AE593">
        <v>1</v>
      </c>
      <c r="AG593" t="s">
        <v>45</v>
      </c>
    </row>
    <row r="594" spans="1:34" x14ac:dyDescent="0.25">
      <c r="A594" s="3" t="s">
        <v>763</v>
      </c>
      <c r="C594" s="3">
        <v>0</v>
      </c>
      <c r="D594" s="4">
        <v>42169</v>
      </c>
      <c r="E594" s="5">
        <v>43472</v>
      </c>
      <c r="F594" s="25" t="str">
        <f t="shared" si="18"/>
        <v>42 : 24</v>
      </c>
      <c r="G594">
        <f t="shared" si="19"/>
        <v>1303</v>
      </c>
      <c r="H594" s="7">
        <v>7</v>
      </c>
      <c r="I594" s="7">
        <v>2</v>
      </c>
      <c r="J594" s="7" t="s">
        <v>32</v>
      </c>
      <c r="K594" s="9" t="s">
        <v>33</v>
      </c>
      <c r="L594" s="19">
        <v>0.5</v>
      </c>
      <c r="M594">
        <v>-0.5</v>
      </c>
      <c r="AD594">
        <v>0</v>
      </c>
      <c r="AE594">
        <v>0</v>
      </c>
      <c r="AG594" t="s">
        <v>114</v>
      </c>
    </row>
    <row r="595" spans="1:34" x14ac:dyDescent="0.25">
      <c r="A595" s="3" t="s">
        <v>763</v>
      </c>
      <c r="C595" s="3">
        <v>0</v>
      </c>
      <c r="D595" s="4">
        <v>42169</v>
      </c>
      <c r="E595" s="5">
        <v>43472</v>
      </c>
      <c r="F595" s="25" t="str">
        <f t="shared" si="18"/>
        <v>42 : 24</v>
      </c>
      <c r="G595">
        <f t="shared" si="19"/>
        <v>1303</v>
      </c>
      <c r="H595" s="7">
        <v>7</v>
      </c>
      <c r="I595" s="7">
        <v>1</v>
      </c>
      <c r="J595" s="7" t="s">
        <v>30</v>
      </c>
      <c r="K595" s="9" t="s">
        <v>30</v>
      </c>
      <c r="L595" s="19">
        <v>0.5</v>
      </c>
      <c r="M595">
        <v>0.5</v>
      </c>
      <c r="AD595">
        <v>0</v>
      </c>
      <c r="AE595">
        <v>0</v>
      </c>
      <c r="AF595" t="s">
        <v>768</v>
      </c>
      <c r="AG595" t="s">
        <v>669</v>
      </c>
      <c r="AH595" t="s">
        <v>769</v>
      </c>
    </row>
    <row r="596" spans="1:34" x14ac:dyDescent="0.25">
      <c r="A596" s="3" t="s">
        <v>763</v>
      </c>
      <c r="C596" s="3">
        <v>0</v>
      </c>
      <c r="D596" s="4">
        <v>42169</v>
      </c>
      <c r="E596" s="5">
        <v>43472</v>
      </c>
      <c r="F596" s="25" t="str">
        <f t="shared" si="18"/>
        <v>42 : 24</v>
      </c>
      <c r="G596">
        <f t="shared" si="19"/>
        <v>1303</v>
      </c>
      <c r="H596" s="7">
        <v>7</v>
      </c>
      <c r="I596" s="7">
        <v>12</v>
      </c>
      <c r="J596" s="7" t="s">
        <v>30</v>
      </c>
      <c r="K596" s="9" t="s">
        <v>39</v>
      </c>
      <c r="L596" s="19">
        <v>-0.5</v>
      </c>
      <c r="M596">
        <v>-0.5</v>
      </c>
      <c r="AD596">
        <v>0</v>
      </c>
      <c r="AE596">
        <v>1</v>
      </c>
      <c r="AG596" t="s">
        <v>93</v>
      </c>
    </row>
    <row r="597" spans="1:34" x14ac:dyDescent="0.25">
      <c r="A597" s="3" t="s">
        <v>763</v>
      </c>
      <c r="C597" s="3">
        <v>0</v>
      </c>
      <c r="D597" s="4">
        <v>42169</v>
      </c>
      <c r="E597" s="5">
        <v>43472</v>
      </c>
      <c r="F597" s="25" t="str">
        <f t="shared" si="18"/>
        <v>42 : 24</v>
      </c>
      <c r="G597">
        <f t="shared" si="19"/>
        <v>1303</v>
      </c>
      <c r="H597" s="7">
        <v>7</v>
      </c>
      <c r="I597" s="7">
        <v>11</v>
      </c>
      <c r="J597" s="7" t="s">
        <v>40</v>
      </c>
      <c r="K597" s="9" t="s">
        <v>40</v>
      </c>
      <c r="L597" s="19">
        <v>0.5</v>
      </c>
      <c r="M597">
        <v>0.5</v>
      </c>
      <c r="AD597">
        <v>0</v>
      </c>
      <c r="AE597">
        <v>0</v>
      </c>
      <c r="AG597" t="s">
        <v>138</v>
      </c>
    </row>
    <row r="598" spans="1:34" x14ac:dyDescent="0.25">
      <c r="A598" s="3" t="s">
        <v>763</v>
      </c>
      <c r="C598" s="3">
        <v>0</v>
      </c>
      <c r="D598" s="4">
        <v>42169</v>
      </c>
      <c r="E598" s="5">
        <v>43472</v>
      </c>
      <c r="F598" s="25" t="str">
        <f t="shared" si="18"/>
        <v>42 : 24</v>
      </c>
      <c r="G598">
        <f t="shared" si="19"/>
        <v>1303</v>
      </c>
      <c r="H598" s="7">
        <v>7</v>
      </c>
      <c r="I598" s="7">
        <v>10</v>
      </c>
      <c r="J598" s="7" t="s">
        <v>33</v>
      </c>
      <c r="K598" s="9" t="s">
        <v>33</v>
      </c>
      <c r="L598" s="19">
        <v>-0.5</v>
      </c>
      <c r="M598">
        <v>0.5</v>
      </c>
      <c r="AD598">
        <v>0</v>
      </c>
      <c r="AE598">
        <v>1</v>
      </c>
      <c r="AG598" t="s">
        <v>45</v>
      </c>
    </row>
    <row r="599" spans="1:34" x14ac:dyDescent="0.25">
      <c r="A599" s="3" t="s">
        <v>763</v>
      </c>
      <c r="C599" s="3">
        <v>0</v>
      </c>
      <c r="D599" s="4">
        <v>42169</v>
      </c>
      <c r="E599" s="5">
        <v>43472</v>
      </c>
      <c r="F599" s="25" t="str">
        <f t="shared" si="18"/>
        <v>42 : 24</v>
      </c>
      <c r="G599">
        <f t="shared" si="19"/>
        <v>1303</v>
      </c>
      <c r="H599" s="7">
        <v>7</v>
      </c>
      <c r="I599" s="7">
        <v>9</v>
      </c>
      <c r="J599" s="7" t="s">
        <v>40</v>
      </c>
      <c r="K599" s="9" t="s">
        <v>30</v>
      </c>
      <c r="L599" s="19">
        <v>-0.5</v>
      </c>
      <c r="M599">
        <v>-0.5</v>
      </c>
      <c r="AD599">
        <v>0</v>
      </c>
      <c r="AE599">
        <v>1</v>
      </c>
      <c r="AG599" t="s">
        <v>90</v>
      </c>
    </row>
    <row r="600" spans="1:34" x14ac:dyDescent="0.25">
      <c r="A600" s="3" t="s">
        <v>763</v>
      </c>
      <c r="C600" s="3">
        <v>0</v>
      </c>
      <c r="D600" s="4">
        <v>42169</v>
      </c>
      <c r="E600" s="5">
        <v>43472</v>
      </c>
      <c r="F600" s="25" t="str">
        <f t="shared" si="18"/>
        <v>42 : 24</v>
      </c>
      <c r="G600">
        <f t="shared" si="19"/>
        <v>1303</v>
      </c>
      <c r="H600" s="7">
        <v>7</v>
      </c>
      <c r="I600" s="7">
        <v>8</v>
      </c>
      <c r="J600" s="7" t="s">
        <v>35</v>
      </c>
      <c r="K600" s="9" t="s">
        <v>32</v>
      </c>
      <c r="L600" s="19">
        <v>0.5</v>
      </c>
      <c r="M600">
        <v>-0.5</v>
      </c>
      <c r="AD600">
        <v>0</v>
      </c>
      <c r="AE600">
        <v>0</v>
      </c>
      <c r="AG600" t="s">
        <v>139</v>
      </c>
    </row>
    <row r="601" spans="1:34" x14ac:dyDescent="0.25">
      <c r="A601" s="3" t="s">
        <v>763</v>
      </c>
      <c r="C601" s="3">
        <v>0</v>
      </c>
      <c r="D601" s="4">
        <v>42169</v>
      </c>
      <c r="E601" s="5">
        <v>43472</v>
      </c>
      <c r="F601" s="25" t="str">
        <f t="shared" si="18"/>
        <v>42 : 24</v>
      </c>
      <c r="G601">
        <f t="shared" si="19"/>
        <v>1303</v>
      </c>
      <c r="H601" s="7">
        <v>7</v>
      </c>
      <c r="I601" s="7">
        <v>7</v>
      </c>
      <c r="J601" s="7" t="s">
        <v>39</v>
      </c>
      <c r="K601" s="9" t="s">
        <v>39</v>
      </c>
      <c r="L601" s="19">
        <v>0.5</v>
      </c>
      <c r="M601">
        <v>0.5</v>
      </c>
      <c r="AD601">
        <v>0</v>
      </c>
      <c r="AE601">
        <v>0</v>
      </c>
      <c r="AG601" t="s">
        <v>770</v>
      </c>
    </row>
    <row r="602" spans="1:34" s="14" customFormat="1" x14ac:dyDescent="0.25">
      <c r="A602" s="10" t="s">
        <v>771</v>
      </c>
      <c r="B602" s="10"/>
      <c r="C602" s="10">
        <v>1</v>
      </c>
      <c r="D602" s="11">
        <v>42156</v>
      </c>
      <c r="E602" s="12">
        <v>43451</v>
      </c>
      <c r="F602" s="26" t="str">
        <f t="shared" si="18"/>
        <v>42 : 16</v>
      </c>
      <c r="G602" s="14">
        <f t="shared" si="19"/>
        <v>1295</v>
      </c>
      <c r="H602" s="22">
        <v>4</v>
      </c>
      <c r="I602" s="9" t="s">
        <v>97</v>
      </c>
      <c r="J602" s="9" t="s">
        <v>30</v>
      </c>
      <c r="K602" s="9" t="s">
        <v>30</v>
      </c>
      <c r="L602" s="20">
        <v>0.5</v>
      </c>
      <c r="M602" s="14">
        <v>0.5</v>
      </c>
      <c r="Z602" s="14">
        <v>1</v>
      </c>
      <c r="AA602" s="14">
        <v>1</v>
      </c>
      <c r="AF602" s="14" t="s">
        <v>772</v>
      </c>
      <c r="AG602" s="14" t="s">
        <v>773</v>
      </c>
    </row>
    <row r="603" spans="1:34" s="14" customFormat="1" x14ac:dyDescent="0.25">
      <c r="A603" s="10" t="s">
        <v>771</v>
      </c>
      <c r="B603" s="10"/>
      <c r="C603" s="10">
        <v>1</v>
      </c>
      <c r="D603" s="11">
        <v>42156</v>
      </c>
      <c r="E603" s="12">
        <v>43451</v>
      </c>
      <c r="F603" s="26" t="str">
        <f t="shared" si="18"/>
        <v>42 : 16</v>
      </c>
      <c r="G603" s="14">
        <f t="shared" si="19"/>
        <v>1295</v>
      </c>
      <c r="H603" s="22">
        <v>4</v>
      </c>
      <c r="I603" s="9" t="s">
        <v>99</v>
      </c>
      <c r="J603" s="9" t="s">
        <v>33</v>
      </c>
      <c r="K603" s="9" t="s">
        <v>32</v>
      </c>
      <c r="L603" s="20">
        <v>0.5</v>
      </c>
      <c r="M603" s="14">
        <v>-0.5</v>
      </c>
      <c r="U603" s="14">
        <v>1</v>
      </c>
      <c r="Y603" s="14">
        <v>1</v>
      </c>
      <c r="AD603" s="14">
        <v>0</v>
      </c>
      <c r="AE603" s="14">
        <v>0</v>
      </c>
      <c r="AF603" s="14" t="s">
        <v>774</v>
      </c>
      <c r="AG603" s="14" t="s">
        <v>775</v>
      </c>
    </row>
    <row r="604" spans="1:34" s="14" customFormat="1" x14ac:dyDescent="0.25">
      <c r="A604" s="10" t="s">
        <v>771</v>
      </c>
      <c r="B604" s="10"/>
      <c r="C604" s="10">
        <v>1</v>
      </c>
      <c r="D604" s="11">
        <v>42156</v>
      </c>
      <c r="E604" s="12">
        <v>43451</v>
      </c>
      <c r="F604" s="26" t="str">
        <f t="shared" si="18"/>
        <v>42 : 16</v>
      </c>
      <c r="G604" s="14">
        <f t="shared" si="19"/>
        <v>1295</v>
      </c>
      <c r="H604" s="22">
        <v>4</v>
      </c>
      <c r="I604" s="9" t="s">
        <v>103</v>
      </c>
      <c r="J604" s="9" t="s">
        <v>35</v>
      </c>
      <c r="K604" s="9" t="s">
        <v>35</v>
      </c>
      <c r="L604" s="20">
        <v>-0.5</v>
      </c>
      <c r="M604" s="14">
        <v>0.5</v>
      </c>
      <c r="Z604" s="14">
        <v>1</v>
      </c>
      <c r="AA604" s="14">
        <v>1</v>
      </c>
      <c r="AF604" s="14" t="s">
        <v>776</v>
      </c>
      <c r="AG604" s="14" t="s">
        <v>621</v>
      </c>
    </row>
    <row r="605" spans="1:34" s="14" customFormat="1" x14ac:dyDescent="0.25">
      <c r="A605" s="10" t="s">
        <v>771</v>
      </c>
      <c r="B605" s="10"/>
      <c r="C605" s="10">
        <v>1</v>
      </c>
      <c r="D605" s="11">
        <v>42156</v>
      </c>
      <c r="E605" s="12">
        <v>43451</v>
      </c>
      <c r="F605" s="26" t="str">
        <f t="shared" si="18"/>
        <v>42 : 16</v>
      </c>
      <c r="G605" s="14">
        <f t="shared" si="19"/>
        <v>1295</v>
      </c>
      <c r="H605" s="22">
        <v>4</v>
      </c>
      <c r="I605" s="9" t="s">
        <v>104</v>
      </c>
      <c r="J605" s="9" t="s">
        <v>32</v>
      </c>
      <c r="K605" s="9" t="s">
        <v>32</v>
      </c>
      <c r="L605" s="20">
        <v>-0.5</v>
      </c>
      <c r="M605" s="14">
        <v>0.5</v>
      </c>
      <c r="U605" s="14">
        <v>1</v>
      </c>
      <c r="AD605" s="14">
        <v>0</v>
      </c>
      <c r="AE605" s="14">
        <v>1</v>
      </c>
      <c r="AF605" s="14" t="s">
        <v>777</v>
      </c>
      <c r="AG605" s="14" t="s">
        <v>778</v>
      </c>
    </row>
    <row r="606" spans="1:34" s="14" customFormat="1" x14ac:dyDescent="0.25">
      <c r="A606" s="10" t="s">
        <v>771</v>
      </c>
      <c r="B606" s="10"/>
      <c r="C606" s="10">
        <v>1</v>
      </c>
      <c r="D606" s="11">
        <v>42156</v>
      </c>
      <c r="E606" s="12">
        <v>43451</v>
      </c>
      <c r="F606" s="26" t="str">
        <f t="shared" si="18"/>
        <v>42 : 16</v>
      </c>
      <c r="G606" s="14">
        <f t="shared" si="19"/>
        <v>1295</v>
      </c>
      <c r="H606" s="22">
        <v>4</v>
      </c>
      <c r="I606" s="9" t="s">
        <v>107</v>
      </c>
      <c r="J606" s="9" t="s">
        <v>35</v>
      </c>
      <c r="K606" s="9" t="s">
        <v>33</v>
      </c>
      <c r="L606" s="20">
        <v>0.5</v>
      </c>
      <c r="M606" s="14">
        <v>-0.5</v>
      </c>
      <c r="Q606" s="14">
        <v>1</v>
      </c>
      <c r="AD606" s="14">
        <v>0</v>
      </c>
      <c r="AE606" s="14">
        <v>0</v>
      </c>
      <c r="AF606" s="14" t="s">
        <v>779</v>
      </c>
      <c r="AG606" s="14" t="s">
        <v>780</v>
      </c>
    </row>
    <row r="607" spans="1:34" s="14" customFormat="1" x14ac:dyDescent="0.25">
      <c r="A607" s="10" t="s">
        <v>771</v>
      </c>
      <c r="B607" s="10"/>
      <c r="C607" s="10">
        <v>1</v>
      </c>
      <c r="D607" s="11">
        <v>42156</v>
      </c>
      <c r="E607" s="12">
        <v>43451</v>
      </c>
      <c r="F607" s="26" t="str">
        <f t="shared" si="18"/>
        <v>42 : 16</v>
      </c>
      <c r="G607" s="14">
        <f t="shared" si="19"/>
        <v>1295</v>
      </c>
      <c r="H607" s="22">
        <v>4</v>
      </c>
      <c r="I607" s="9" t="s">
        <v>110</v>
      </c>
      <c r="J607" s="9" t="s">
        <v>40</v>
      </c>
      <c r="K607" s="9" t="s">
        <v>39</v>
      </c>
      <c r="L607" s="20">
        <v>-0.5</v>
      </c>
      <c r="M607" s="14">
        <v>-0.5</v>
      </c>
      <c r="AD607" s="14">
        <v>1</v>
      </c>
      <c r="AE607" s="14">
        <v>0</v>
      </c>
      <c r="AF607" s="14" t="s">
        <v>781</v>
      </c>
      <c r="AG607" s="14" t="s">
        <v>327</v>
      </c>
    </row>
    <row r="608" spans="1:34" s="14" customFormat="1" x14ac:dyDescent="0.25">
      <c r="A608" s="10" t="s">
        <v>771</v>
      </c>
      <c r="B608" s="10"/>
      <c r="C608" s="10">
        <v>1</v>
      </c>
      <c r="D608" s="11">
        <v>42156</v>
      </c>
      <c r="E608" s="12">
        <v>43451</v>
      </c>
      <c r="F608" s="26" t="str">
        <f t="shared" si="18"/>
        <v>42 : 16</v>
      </c>
      <c r="G608" s="14">
        <f t="shared" si="19"/>
        <v>1295</v>
      </c>
      <c r="H608" s="22">
        <v>4</v>
      </c>
      <c r="I608" s="9" t="s">
        <v>113</v>
      </c>
      <c r="J608" s="9" t="s">
        <v>39</v>
      </c>
      <c r="K608" s="9" t="s">
        <v>39</v>
      </c>
      <c r="L608" s="20">
        <v>0.5</v>
      </c>
      <c r="M608" s="14">
        <v>0.5</v>
      </c>
      <c r="AD608" s="14">
        <v>0</v>
      </c>
      <c r="AE608" s="14">
        <v>0</v>
      </c>
      <c r="AF608" s="14" t="s">
        <v>782</v>
      </c>
      <c r="AG608" s="14" t="s">
        <v>783</v>
      </c>
      <c r="AH608" s="14" t="s">
        <v>784</v>
      </c>
    </row>
    <row r="609" spans="1:34" s="14" customFormat="1" x14ac:dyDescent="0.25">
      <c r="A609" s="10" t="s">
        <v>771</v>
      </c>
      <c r="B609" s="10"/>
      <c r="C609" s="10">
        <v>1</v>
      </c>
      <c r="D609" s="11">
        <v>42156</v>
      </c>
      <c r="E609" s="12">
        <v>43451</v>
      </c>
      <c r="F609" s="26" t="str">
        <f t="shared" si="18"/>
        <v>42 : 16</v>
      </c>
      <c r="G609" s="14">
        <f t="shared" si="19"/>
        <v>1295</v>
      </c>
      <c r="H609" s="22">
        <v>4</v>
      </c>
      <c r="I609" s="9" t="s">
        <v>115</v>
      </c>
      <c r="J609" s="9" t="s">
        <v>32</v>
      </c>
      <c r="K609" s="9" t="s">
        <v>35</v>
      </c>
      <c r="L609" s="20">
        <v>0.5</v>
      </c>
      <c r="M609" s="14">
        <v>-0.5</v>
      </c>
      <c r="Y609" s="14">
        <v>1</v>
      </c>
      <c r="AD609" s="14">
        <v>0</v>
      </c>
      <c r="AE609" s="14">
        <v>0</v>
      </c>
      <c r="AF609" s="14" t="s">
        <v>785</v>
      </c>
      <c r="AG609" s="14" t="s">
        <v>217</v>
      </c>
    </row>
    <row r="610" spans="1:34" s="14" customFormat="1" x14ac:dyDescent="0.25">
      <c r="A610" s="10" t="s">
        <v>771</v>
      </c>
      <c r="B610" s="10"/>
      <c r="C610" s="10">
        <v>1</v>
      </c>
      <c r="D610" s="11">
        <v>42156</v>
      </c>
      <c r="E610" s="12">
        <v>43451</v>
      </c>
      <c r="F610" s="26" t="str">
        <f t="shared" si="18"/>
        <v>42 : 16</v>
      </c>
      <c r="G610" s="14">
        <f t="shared" si="19"/>
        <v>1295</v>
      </c>
      <c r="H610" s="22">
        <v>4</v>
      </c>
      <c r="I610" s="9" t="s">
        <v>117</v>
      </c>
      <c r="J610" s="9" t="s">
        <v>30</v>
      </c>
      <c r="K610" s="9" t="s">
        <v>40</v>
      </c>
      <c r="L610" s="20">
        <v>-0.5</v>
      </c>
      <c r="M610" s="14">
        <v>-0.5</v>
      </c>
      <c r="U610" s="14">
        <v>1</v>
      </c>
      <c r="AD610" s="14">
        <v>0</v>
      </c>
      <c r="AE610" s="14">
        <v>1</v>
      </c>
      <c r="AF610" s="14" t="s">
        <v>786</v>
      </c>
      <c r="AG610" s="14" t="s">
        <v>787</v>
      </c>
      <c r="AH610" s="14" t="s">
        <v>788</v>
      </c>
    </row>
    <row r="611" spans="1:34" s="14" customFormat="1" x14ac:dyDescent="0.25">
      <c r="A611" s="10" t="s">
        <v>771</v>
      </c>
      <c r="B611" s="10"/>
      <c r="C611" s="10">
        <v>1</v>
      </c>
      <c r="D611" s="11">
        <v>42156</v>
      </c>
      <c r="E611" s="12">
        <v>43451</v>
      </c>
      <c r="F611" s="26" t="str">
        <f t="shared" si="18"/>
        <v>42 : 16</v>
      </c>
      <c r="G611" s="14">
        <f t="shared" si="19"/>
        <v>1295</v>
      </c>
      <c r="H611" s="22">
        <v>4</v>
      </c>
      <c r="I611" s="9" t="s">
        <v>121</v>
      </c>
      <c r="J611" s="9" t="s">
        <v>33</v>
      </c>
      <c r="K611" s="9" t="s">
        <v>33</v>
      </c>
      <c r="L611" s="20">
        <v>-0.5</v>
      </c>
      <c r="M611" s="14">
        <v>0.5</v>
      </c>
      <c r="Y611" s="14">
        <v>1</v>
      </c>
      <c r="AD611" s="14">
        <v>0</v>
      </c>
      <c r="AE611" s="14">
        <v>1</v>
      </c>
      <c r="AF611" s="14" t="s">
        <v>789</v>
      </c>
      <c r="AG611" s="14" t="s">
        <v>515</v>
      </c>
    </row>
    <row r="612" spans="1:34" s="14" customFormat="1" x14ac:dyDescent="0.25">
      <c r="A612" s="10" t="s">
        <v>771</v>
      </c>
      <c r="B612" s="10"/>
      <c r="C612" s="10">
        <v>1</v>
      </c>
      <c r="D612" s="11">
        <v>42156</v>
      </c>
      <c r="E612" s="12">
        <v>43451</v>
      </c>
      <c r="F612" s="26" t="str">
        <f t="shared" si="18"/>
        <v>42 : 16</v>
      </c>
      <c r="G612" s="14">
        <f t="shared" si="19"/>
        <v>1295</v>
      </c>
      <c r="H612" s="22">
        <v>4</v>
      </c>
      <c r="I612" s="9" t="s">
        <v>124</v>
      </c>
      <c r="J612" s="9" t="s">
        <v>40</v>
      </c>
      <c r="K612" s="9" t="s">
        <v>40</v>
      </c>
      <c r="L612" s="20">
        <v>0.5</v>
      </c>
      <c r="M612" s="14">
        <v>0.5</v>
      </c>
      <c r="Y612" s="14">
        <v>1</v>
      </c>
      <c r="AD612" s="14">
        <v>0</v>
      </c>
      <c r="AE612" s="14">
        <v>0</v>
      </c>
      <c r="AF612" s="14" t="s">
        <v>790</v>
      </c>
      <c r="AG612" s="14" t="s">
        <v>84</v>
      </c>
    </row>
    <row r="613" spans="1:34" s="14" customFormat="1" x14ac:dyDescent="0.25">
      <c r="A613" s="10" t="s">
        <v>771</v>
      </c>
      <c r="B613" s="10"/>
      <c r="C613" s="10">
        <v>1</v>
      </c>
      <c r="D613" s="11">
        <v>42156</v>
      </c>
      <c r="E613" s="12">
        <v>43451</v>
      </c>
      <c r="F613" s="26" t="str">
        <f t="shared" si="18"/>
        <v>42 : 16</v>
      </c>
      <c r="G613" s="14">
        <f t="shared" si="19"/>
        <v>1295</v>
      </c>
      <c r="H613" s="22">
        <v>4</v>
      </c>
      <c r="I613" s="9" t="s">
        <v>127</v>
      </c>
      <c r="J613" s="9" t="s">
        <v>39</v>
      </c>
      <c r="K613" s="9" t="s">
        <v>30</v>
      </c>
      <c r="L613" s="20">
        <v>-0.5</v>
      </c>
      <c r="M613" s="14">
        <v>-0.5</v>
      </c>
      <c r="AD613" s="14">
        <v>0</v>
      </c>
      <c r="AE613" s="14">
        <v>1</v>
      </c>
      <c r="AG613" s="14" t="s">
        <v>313</v>
      </c>
    </row>
    <row r="614" spans="1:34" s="14" customFormat="1" x14ac:dyDescent="0.25">
      <c r="A614" s="10" t="s">
        <v>791</v>
      </c>
      <c r="B614" s="10"/>
      <c r="C614" s="10">
        <v>1</v>
      </c>
      <c r="D614" s="11">
        <v>42161</v>
      </c>
      <c r="E614" s="12">
        <v>43454</v>
      </c>
      <c r="F614" s="26" t="str">
        <f t="shared" si="18"/>
        <v>42 : 14</v>
      </c>
      <c r="G614" s="14">
        <f t="shared" si="19"/>
        <v>1293</v>
      </c>
      <c r="H614" s="9">
        <v>5</v>
      </c>
      <c r="I614" s="9">
        <v>6</v>
      </c>
      <c r="J614" s="9" t="s">
        <v>39</v>
      </c>
      <c r="K614" s="9" t="s">
        <v>40</v>
      </c>
      <c r="L614" s="20">
        <v>0.5</v>
      </c>
      <c r="M614" s="14">
        <v>-0.5</v>
      </c>
      <c r="Y614" s="14">
        <v>1</v>
      </c>
      <c r="AD614" s="14">
        <v>0</v>
      </c>
      <c r="AE614" s="14">
        <v>0</v>
      </c>
      <c r="AF614" s="14" t="s">
        <v>792</v>
      </c>
      <c r="AG614" s="14" t="s">
        <v>41</v>
      </c>
    </row>
    <row r="615" spans="1:34" s="14" customFormat="1" x14ac:dyDescent="0.25">
      <c r="A615" s="10" t="s">
        <v>791</v>
      </c>
      <c r="B615" s="10"/>
      <c r="C615" s="10">
        <v>1</v>
      </c>
      <c r="D615" s="11">
        <v>42161</v>
      </c>
      <c r="E615" s="12">
        <v>43454</v>
      </c>
      <c r="F615" s="26" t="str">
        <f t="shared" si="18"/>
        <v>42 : 14</v>
      </c>
      <c r="G615" s="14">
        <f t="shared" si="19"/>
        <v>1293</v>
      </c>
      <c r="H615" s="9">
        <v>5</v>
      </c>
      <c r="I615" s="9">
        <v>5</v>
      </c>
      <c r="J615" s="9" t="s">
        <v>33</v>
      </c>
      <c r="K615" s="9" t="s">
        <v>35</v>
      </c>
      <c r="L615" s="20">
        <v>-0.5</v>
      </c>
      <c r="M615" s="14">
        <v>-0.5</v>
      </c>
      <c r="AD615" s="14">
        <v>0</v>
      </c>
      <c r="AE615" s="14">
        <v>1</v>
      </c>
      <c r="AG615" s="14" t="s">
        <v>540</v>
      </c>
    </row>
    <row r="616" spans="1:34" s="14" customFormat="1" x14ac:dyDescent="0.25">
      <c r="A616" s="10" t="s">
        <v>791</v>
      </c>
      <c r="B616" s="10"/>
      <c r="C616" s="10">
        <v>1</v>
      </c>
      <c r="D616" s="11">
        <v>42161</v>
      </c>
      <c r="E616" s="12">
        <v>43454</v>
      </c>
      <c r="F616" s="26" t="str">
        <f t="shared" si="18"/>
        <v>42 : 14</v>
      </c>
      <c r="G616" s="14">
        <f t="shared" si="19"/>
        <v>1293</v>
      </c>
      <c r="H616" s="9">
        <v>5</v>
      </c>
      <c r="I616" s="9">
        <v>4</v>
      </c>
      <c r="J616" s="9" t="s">
        <v>32</v>
      </c>
      <c r="K616" s="9" t="s">
        <v>32</v>
      </c>
      <c r="L616" s="20">
        <v>0.5</v>
      </c>
      <c r="M616" s="14">
        <v>0.5</v>
      </c>
      <c r="AD616" s="14">
        <v>0</v>
      </c>
      <c r="AE616" s="14">
        <v>0</v>
      </c>
      <c r="AG616" s="14" t="s">
        <v>305</v>
      </c>
      <c r="AH616" s="14" t="s">
        <v>793</v>
      </c>
    </row>
    <row r="617" spans="1:34" s="14" customFormat="1" x14ac:dyDescent="0.25">
      <c r="A617" s="10" t="s">
        <v>791</v>
      </c>
      <c r="B617" s="10"/>
      <c r="C617" s="10">
        <v>1</v>
      </c>
      <c r="D617" s="11">
        <v>42161</v>
      </c>
      <c r="E617" s="12">
        <v>43454</v>
      </c>
      <c r="F617" s="26" t="str">
        <f t="shared" si="18"/>
        <v>42 : 14</v>
      </c>
      <c r="G617" s="14">
        <f t="shared" si="19"/>
        <v>1293</v>
      </c>
      <c r="H617" s="9">
        <v>5</v>
      </c>
      <c r="I617" s="9">
        <v>3</v>
      </c>
      <c r="J617" s="9" t="s">
        <v>35</v>
      </c>
      <c r="K617" s="9" t="s">
        <v>35</v>
      </c>
      <c r="L617" s="20">
        <v>0.5</v>
      </c>
      <c r="M617" s="14">
        <v>0.5</v>
      </c>
      <c r="AD617" s="14">
        <v>0</v>
      </c>
      <c r="AE617" s="14">
        <v>0</v>
      </c>
      <c r="AG617" s="14" t="s">
        <v>794</v>
      </c>
    </row>
    <row r="618" spans="1:34" s="14" customFormat="1" x14ac:dyDescent="0.25">
      <c r="A618" s="10" t="s">
        <v>791</v>
      </c>
      <c r="B618" s="10"/>
      <c r="C618" s="10">
        <v>1</v>
      </c>
      <c r="D618" s="11">
        <v>42161</v>
      </c>
      <c r="E618" s="12">
        <v>43454</v>
      </c>
      <c r="F618" s="26" t="str">
        <f t="shared" ref="F618:F681" si="20">DATEDIF(D618,E618,"M")&amp;" : "&amp;DATEDIF(D618,E618,"MD")</f>
        <v>42 : 14</v>
      </c>
      <c r="G618" s="14">
        <f t="shared" ref="G618:G681" si="21">DATEDIF(D618,E618,"D")</f>
        <v>1293</v>
      </c>
      <c r="H618" s="9">
        <v>5</v>
      </c>
      <c r="I618" s="9">
        <v>2</v>
      </c>
      <c r="J618" s="9" t="s">
        <v>32</v>
      </c>
      <c r="K618" s="9" t="s">
        <v>33</v>
      </c>
      <c r="L618" s="20">
        <v>-0.5</v>
      </c>
      <c r="M618" s="14">
        <v>-0.5</v>
      </c>
      <c r="Y618" s="14">
        <v>1</v>
      </c>
      <c r="AA618" s="14">
        <v>1</v>
      </c>
      <c r="AF618" s="14" t="s">
        <v>795</v>
      </c>
      <c r="AG618" s="14" t="s">
        <v>796</v>
      </c>
      <c r="AH618" s="14" t="s">
        <v>263</v>
      </c>
    </row>
    <row r="619" spans="1:34" s="14" customFormat="1" x14ac:dyDescent="0.25">
      <c r="A619" s="10" t="s">
        <v>791</v>
      </c>
      <c r="B619" s="10"/>
      <c r="C619" s="10">
        <v>1</v>
      </c>
      <c r="D619" s="11">
        <v>42161</v>
      </c>
      <c r="E619" s="12">
        <v>43454</v>
      </c>
      <c r="F619" s="26" t="str">
        <f t="shared" si="20"/>
        <v>42 : 14</v>
      </c>
      <c r="G619" s="14">
        <f t="shared" si="21"/>
        <v>1293</v>
      </c>
      <c r="H619" s="9">
        <v>5</v>
      </c>
      <c r="I619" s="9">
        <v>1</v>
      </c>
      <c r="J619" s="9" t="s">
        <v>30</v>
      </c>
      <c r="K619" s="9" t="s">
        <v>30</v>
      </c>
      <c r="L619" s="20">
        <v>-0.5</v>
      </c>
      <c r="M619" s="14">
        <v>0.5</v>
      </c>
      <c r="AD619" s="14">
        <v>0</v>
      </c>
      <c r="AE619" s="14">
        <v>1</v>
      </c>
      <c r="AG619" s="14" t="s">
        <v>53</v>
      </c>
      <c r="AH619" s="14" t="s">
        <v>797</v>
      </c>
    </row>
    <row r="620" spans="1:34" s="14" customFormat="1" x14ac:dyDescent="0.25">
      <c r="A620" s="10" t="s">
        <v>791</v>
      </c>
      <c r="B620" s="10"/>
      <c r="C620" s="10">
        <v>1</v>
      </c>
      <c r="D620" s="11">
        <v>42161</v>
      </c>
      <c r="E620" s="12">
        <v>43454</v>
      </c>
      <c r="F620" s="26" t="str">
        <f t="shared" si="20"/>
        <v>42 : 14</v>
      </c>
      <c r="G620" s="14">
        <f t="shared" si="21"/>
        <v>1293</v>
      </c>
      <c r="H620" s="9">
        <v>5</v>
      </c>
      <c r="I620" s="9">
        <v>12</v>
      </c>
      <c r="J620" s="9" t="s">
        <v>30</v>
      </c>
      <c r="K620" s="9" t="s">
        <v>39</v>
      </c>
      <c r="L620" s="20">
        <v>0.5</v>
      </c>
      <c r="M620" s="14">
        <v>-0.5</v>
      </c>
      <c r="AD620" s="14">
        <v>0</v>
      </c>
      <c r="AE620" s="14">
        <v>0</v>
      </c>
      <c r="AG620" s="14" t="s">
        <v>669</v>
      </c>
    </row>
    <row r="621" spans="1:34" s="14" customFormat="1" x14ac:dyDescent="0.25">
      <c r="A621" s="10" t="s">
        <v>791</v>
      </c>
      <c r="B621" s="10"/>
      <c r="C621" s="10">
        <v>1</v>
      </c>
      <c r="D621" s="11">
        <v>42161</v>
      </c>
      <c r="E621" s="12">
        <v>43454</v>
      </c>
      <c r="F621" s="26" t="str">
        <f t="shared" si="20"/>
        <v>42 : 14</v>
      </c>
      <c r="G621" s="14">
        <f t="shared" si="21"/>
        <v>1293</v>
      </c>
      <c r="H621" s="9">
        <v>5</v>
      </c>
      <c r="I621" s="9">
        <v>11</v>
      </c>
      <c r="J621" s="9" t="s">
        <v>40</v>
      </c>
      <c r="K621" s="9" t="s">
        <v>40</v>
      </c>
      <c r="L621" s="20">
        <v>-0.5</v>
      </c>
      <c r="M621" s="14">
        <v>0.5</v>
      </c>
      <c r="AD621" s="14">
        <v>0</v>
      </c>
      <c r="AE621" s="14">
        <v>1</v>
      </c>
      <c r="AG621" s="14" t="s">
        <v>481</v>
      </c>
    </row>
    <row r="622" spans="1:34" s="14" customFormat="1" x14ac:dyDescent="0.25">
      <c r="A622" s="10" t="s">
        <v>791</v>
      </c>
      <c r="B622" s="10"/>
      <c r="C622" s="10">
        <v>1</v>
      </c>
      <c r="D622" s="11">
        <v>42161</v>
      </c>
      <c r="E622" s="12">
        <v>43454</v>
      </c>
      <c r="F622" s="26" t="str">
        <f t="shared" si="20"/>
        <v>42 : 14</v>
      </c>
      <c r="G622" s="14">
        <f t="shared" si="21"/>
        <v>1293</v>
      </c>
      <c r="H622" s="9">
        <v>5</v>
      </c>
      <c r="I622" s="9">
        <v>10</v>
      </c>
      <c r="J622" s="9" t="s">
        <v>33</v>
      </c>
      <c r="K622" s="9" t="s">
        <v>33</v>
      </c>
      <c r="L622" s="20">
        <v>0.5</v>
      </c>
      <c r="M622" s="14">
        <v>0.5</v>
      </c>
      <c r="Q622" s="14">
        <v>1</v>
      </c>
      <c r="AD622" s="14">
        <v>0</v>
      </c>
      <c r="AE622" s="14">
        <v>0</v>
      </c>
      <c r="AF622" s="14" t="s">
        <v>798</v>
      </c>
      <c r="AG622" s="14" t="s">
        <v>45</v>
      </c>
      <c r="AH622" s="14" t="s">
        <v>799</v>
      </c>
    </row>
    <row r="623" spans="1:34" s="14" customFormat="1" x14ac:dyDescent="0.25">
      <c r="A623" s="10" t="s">
        <v>791</v>
      </c>
      <c r="B623" s="10"/>
      <c r="C623" s="10">
        <v>1</v>
      </c>
      <c r="D623" s="11">
        <v>42161</v>
      </c>
      <c r="E623" s="12">
        <v>43454</v>
      </c>
      <c r="F623" s="26" t="str">
        <f t="shared" si="20"/>
        <v>42 : 14</v>
      </c>
      <c r="G623" s="14">
        <f t="shared" si="21"/>
        <v>1293</v>
      </c>
      <c r="H623" s="9">
        <v>5</v>
      </c>
      <c r="I623" s="9">
        <v>9</v>
      </c>
      <c r="J623" s="9" t="s">
        <v>40</v>
      </c>
      <c r="K623" s="9" t="s">
        <v>30</v>
      </c>
      <c r="L623" s="20">
        <v>0.5</v>
      </c>
      <c r="M623" s="14">
        <v>-0.5</v>
      </c>
      <c r="AD623" s="14">
        <v>0</v>
      </c>
      <c r="AE623" s="14">
        <v>0</v>
      </c>
      <c r="AG623" s="14" t="s">
        <v>800</v>
      </c>
    </row>
    <row r="624" spans="1:34" s="14" customFormat="1" x14ac:dyDescent="0.25">
      <c r="A624" s="10" t="s">
        <v>791</v>
      </c>
      <c r="B624" s="10"/>
      <c r="C624" s="10">
        <v>1</v>
      </c>
      <c r="D624" s="11">
        <v>42161</v>
      </c>
      <c r="E624" s="12">
        <v>43454</v>
      </c>
      <c r="F624" s="26" t="str">
        <f t="shared" si="20"/>
        <v>42 : 14</v>
      </c>
      <c r="G624" s="14">
        <f t="shared" si="21"/>
        <v>1293</v>
      </c>
      <c r="H624" s="9">
        <v>5</v>
      </c>
      <c r="I624" s="9">
        <v>8</v>
      </c>
      <c r="J624" s="9" t="s">
        <v>35</v>
      </c>
      <c r="K624" s="9" t="s">
        <v>32</v>
      </c>
      <c r="L624" s="20">
        <v>-0.5</v>
      </c>
      <c r="M624" s="14">
        <v>-0.5</v>
      </c>
      <c r="AD624" s="14">
        <v>0</v>
      </c>
      <c r="AE624" s="14">
        <v>1</v>
      </c>
      <c r="AF624" s="14" t="s">
        <v>801</v>
      </c>
      <c r="AG624" s="14" t="s">
        <v>51</v>
      </c>
    </row>
    <row r="625" spans="1:34" s="14" customFormat="1" x14ac:dyDescent="0.25">
      <c r="A625" s="10" t="s">
        <v>791</v>
      </c>
      <c r="B625" s="10"/>
      <c r="C625" s="10">
        <v>1</v>
      </c>
      <c r="D625" s="11">
        <v>42161</v>
      </c>
      <c r="E625" s="12">
        <v>43454</v>
      </c>
      <c r="F625" s="26" t="str">
        <f t="shared" si="20"/>
        <v>42 : 14</v>
      </c>
      <c r="G625" s="14">
        <f t="shared" si="21"/>
        <v>1293</v>
      </c>
      <c r="H625" s="9">
        <v>5</v>
      </c>
      <c r="I625" s="9">
        <v>7</v>
      </c>
      <c r="J625" s="9" t="s">
        <v>39</v>
      </c>
      <c r="K625" s="9" t="s">
        <v>39</v>
      </c>
      <c r="L625" s="20">
        <v>-0.5</v>
      </c>
      <c r="M625" s="14">
        <v>0.5</v>
      </c>
      <c r="S625" s="14">
        <v>0</v>
      </c>
      <c r="AD625" s="14">
        <v>0</v>
      </c>
      <c r="AE625" s="14">
        <v>1</v>
      </c>
      <c r="AG625" s="14" t="s">
        <v>67</v>
      </c>
      <c r="AH625" s="14" t="s">
        <v>799</v>
      </c>
    </row>
    <row r="626" spans="1:34" s="14" customFormat="1" x14ac:dyDescent="0.25">
      <c r="A626" s="10" t="s">
        <v>802</v>
      </c>
      <c r="B626" s="10"/>
      <c r="C626" s="10">
        <v>1</v>
      </c>
      <c r="D626" s="11">
        <v>42169</v>
      </c>
      <c r="E626" s="12">
        <v>43454</v>
      </c>
      <c r="F626" s="26" t="str">
        <f t="shared" si="20"/>
        <v>42 : 6</v>
      </c>
      <c r="G626" s="14">
        <f t="shared" si="21"/>
        <v>1285</v>
      </c>
      <c r="H626" s="9">
        <v>6</v>
      </c>
      <c r="I626" s="9" t="s">
        <v>143</v>
      </c>
      <c r="J626" s="9" t="s">
        <v>40</v>
      </c>
      <c r="K626" s="9" t="s">
        <v>39</v>
      </c>
      <c r="L626" s="20">
        <v>0.5</v>
      </c>
      <c r="M626" s="14">
        <v>-0.5</v>
      </c>
      <c r="AD626" s="14">
        <v>1</v>
      </c>
      <c r="AE626" s="14">
        <v>1</v>
      </c>
      <c r="AG626" s="14" t="s">
        <v>315</v>
      </c>
    </row>
    <row r="627" spans="1:34" s="14" customFormat="1" x14ac:dyDescent="0.25">
      <c r="A627" s="10" t="s">
        <v>802</v>
      </c>
      <c r="B627" s="10"/>
      <c r="C627" s="10">
        <v>1</v>
      </c>
      <c r="D627" s="11">
        <v>42169</v>
      </c>
      <c r="E627" s="12">
        <v>43454</v>
      </c>
      <c r="F627" s="26" t="str">
        <f t="shared" si="20"/>
        <v>42 : 6</v>
      </c>
      <c r="G627" s="14">
        <f t="shared" si="21"/>
        <v>1285</v>
      </c>
      <c r="H627" s="9">
        <v>6</v>
      </c>
      <c r="I627" s="9" t="s">
        <v>145</v>
      </c>
      <c r="J627" s="9" t="s">
        <v>35</v>
      </c>
      <c r="K627" s="9" t="s">
        <v>33</v>
      </c>
      <c r="L627" s="20">
        <v>-0.5</v>
      </c>
      <c r="M627" s="14">
        <v>-0.5</v>
      </c>
      <c r="T627" s="14">
        <v>1</v>
      </c>
      <c r="AD627" s="14">
        <v>0</v>
      </c>
      <c r="AE627" s="14">
        <v>1</v>
      </c>
      <c r="AG627" s="14" t="s">
        <v>803</v>
      </c>
    </row>
    <row r="628" spans="1:34" s="14" customFormat="1" x14ac:dyDescent="0.25">
      <c r="A628" s="10" t="s">
        <v>802</v>
      </c>
      <c r="B628" s="10"/>
      <c r="C628" s="10">
        <v>1</v>
      </c>
      <c r="D628" s="11">
        <v>42169</v>
      </c>
      <c r="E628" s="12">
        <v>43454</v>
      </c>
      <c r="F628" s="26" t="str">
        <f t="shared" si="20"/>
        <v>42 : 6</v>
      </c>
      <c r="G628" s="14">
        <f t="shared" si="21"/>
        <v>1285</v>
      </c>
      <c r="H628" s="9">
        <v>6</v>
      </c>
      <c r="I628" s="9" t="s">
        <v>146</v>
      </c>
      <c r="J628" s="9" t="s">
        <v>32</v>
      </c>
      <c r="K628" s="9" t="s">
        <v>32</v>
      </c>
      <c r="L628" s="20">
        <v>0.5</v>
      </c>
      <c r="M628" s="14">
        <v>0.5</v>
      </c>
      <c r="T628" s="14">
        <v>1</v>
      </c>
      <c r="AD628" s="14">
        <v>0</v>
      </c>
      <c r="AE628" s="14">
        <v>0</v>
      </c>
      <c r="AG628" s="14" t="s">
        <v>804</v>
      </c>
    </row>
    <row r="629" spans="1:34" s="14" customFormat="1" x14ac:dyDescent="0.25">
      <c r="A629" s="10" t="s">
        <v>802</v>
      </c>
      <c r="B629" s="10"/>
      <c r="C629" s="10">
        <v>1</v>
      </c>
      <c r="D629" s="11">
        <v>42169</v>
      </c>
      <c r="E629" s="12">
        <v>43454</v>
      </c>
      <c r="F629" s="26" t="str">
        <f t="shared" si="20"/>
        <v>42 : 6</v>
      </c>
      <c r="G629" s="14">
        <f t="shared" si="21"/>
        <v>1285</v>
      </c>
      <c r="H629" s="9">
        <v>6</v>
      </c>
      <c r="I629" s="9" t="s">
        <v>147</v>
      </c>
      <c r="J629" s="9" t="s">
        <v>35</v>
      </c>
      <c r="K629" s="9" t="s">
        <v>35</v>
      </c>
      <c r="L629" s="20">
        <v>0.5</v>
      </c>
      <c r="M629" s="14">
        <v>0.5</v>
      </c>
      <c r="AD629" s="14">
        <v>0</v>
      </c>
      <c r="AE629" s="14">
        <v>0</v>
      </c>
      <c r="AG629" s="14" t="s">
        <v>805</v>
      </c>
    </row>
    <row r="630" spans="1:34" s="14" customFormat="1" x14ac:dyDescent="0.25">
      <c r="A630" s="10" t="s">
        <v>802</v>
      </c>
      <c r="B630" s="10"/>
      <c r="C630" s="10">
        <v>1</v>
      </c>
      <c r="D630" s="11">
        <v>42169</v>
      </c>
      <c r="E630" s="12">
        <v>43454</v>
      </c>
      <c r="F630" s="26" t="str">
        <f t="shared" si="20"/>
        <v>42 : 6</v>
      </c>
      <c r="G630" s="14">
        <f t="shared" si="21"/>
        <v>1285</v>
      </c>
      <c r="H630" s="9">
        <v>6</v>
      </c>
      <c r="I630" s="9" t="s">
        <v>148</v>
      </c>
      <c r="J630" s="9" t="s">
        <v>33</v>
      </c>
      <c r="K630" s="9" t="s">
        <v>32</v>
      </c>
      <c r="L630" s="20">
        <v>-0.5</v>
      </c>
      <c r="M630" s="14">
        <v>-0.5</v>
      </c>
      <c r="AD630" s="14">
        <v>0</v>
      </c>
      <c r="AE630" s="14">
        <v>1</v>
      </c>
      <c r="AG630" s="14" t="s">
        <v>806</v>
      </c>
    </row>
    <row r="631" spans="1:34" s="14" customFormat="1" x14ac:dyDescent="0.25">
      <c r="A631" s="10" t="s">
        <v>802</v>
      </c>
      <c r="B631" s="10"/>
      <c r="C631" s="10">
        <v>1</v>
      </c>
      <c r="D631" s="11">
        <v>42169</v>
      </c>
      <c r="E631" s="12">
        <v>43454</v>
      </c>
      <c r="F631" s="26" t="str">
        <f t="shared" si="20"/>
        <v>42 : 6</v>
      </c>
      <c r="G631" s="14">
        <f t="shared" si="21"/>
        <v>1285</v>
      </c>
      <c r="H631" s="9">
        <v>6</v>
      </c>
      <c r="I631" s="9" t="s">
        <v>152</v>
      </c>
      <c r="J631" s="9" t="s">
        <v>30</v>
      </c>
      <c r="K631" s="9" t="s">
        <v>30</v>
      </c>
      <c r="L631" s="20">
        <v>-0.5</v>
      </c>
      <c r="M631" s="14">
        <v>0.5</v>
      </c>
      <c r="AD631" s="14">
        <v>0</v>
      </c>
      <c r="AE631" s="14">
        <v>1</v>
      </c>
      <c r="AG631" s="14" t="s">
        <v>98</v>
      </c>
    </row>
    <row r="632" spans="1:34" s="14" customFormat="1" x14ac:dyDescent="0.25">
      <c r="A632" s="10" t="s">
        <v>802</v>
      </c>
      <c r="B632" s="10"/>
      <c r="C632" s="10">
        <v>1</v>
      </c>
      <c r="D632" s="11">
        <v>42169</v>
      </c>
      <c r="E632" s="12">
        <v>43454</v>
      </c>
      <c r="F632" s="26" t="str">
        <f t="shared" si="20"/>
        <v>42 : 6</v>
      </c>
      <c r="G632" s="14">
        <f t="shared" si="21"/>
        <v>1285</v>
      </c>
      <c r="H632" s="9">
        <v>6</v>
      </c>
      <c r="I632" s="9" t="s">
        <v>153</v>
      </c>
      <c r="J632" s="9" t="s">
        <v>39</v>
      </c>
      <c r="K632" s="9" t="s">
        <v>39</v>
      </c>
      <c r="L632" s="20">
        <v>0.5</v>
      </c>
      <c r="M632" s="9">
        <v>0.5</v>
      </c>
      <c r="O632" s="14">
        <v>1</v>
      </c>
      <c r="AD632" s="14">
        <v>0</v>
      </c>
      <c r="AE632" s="14">
        <v>0</v>
      </c>
      <c r="AG632" s="14" t="s">
        <v>67</v>
      </c>
    </row>
    <row r="633" spans="1:34" s="14" customFormat="1" x14ac:dyDescent="0.25">
      <c r="A633" s="10" t="s">
        <v>802</v>
      </c>
      <c r="B633" s="10"/>
      <c r="C633" s="10">
        <v>1</v>
      </c>
      <c r="D633" s="11">
        <v>42169</v>
      </c>
      <c r="E633" s="12">
        <v>43454</v>
      </c>
      <c r="F633" s="26" t="str">
        <f t="shared" si="20"/>
        <v>42 : 6</v>
      </c>
      <c r="G633" s="14">
        <f t="shared" si="21"/>
        <v>1285</v>
      </c>
      <c r="H633" s="9">
        <v>6</v>
      </c>
      <c r="I633" s="9" t="s">
        <v>154</v>
      </c>
      <c r="J633" s="9" t="s">
        <v>40</v>
      </c>
      <c r="K633" s="9" t="s">
        <v>40</v>
      </c>
      <c r="L633" s="20">
        <v>-0.5</v>
      </c>
      <c r="M633" s="14">
        <v>0.5</v>
      </c>
      <c r="Q633" s="14">
        <v>1</v>
      </c>
      <c r="AD633" s="14">
        <v>0</v>
      </c>
      <c r="AE633" s="14">
        <v>1</v>
      </c>
      <c r="AF633" s="14" t="s">
        <v>807</v>
      </c>
      <c r="AG633" s="14" t="s">
        <v>358</v>
      </c>
    </row>
    <row r="634" spans="1:34" s="14" customFormat="1" x14ac:dyDescent="0.25">
      <c r="A634" s="10" t="s">
        <v>802</v>
      </c>
      <c r="B634" s="10"/>
      <c r="C634" s="10">
        <v>1</v>
      </c>
      <c r="D634" s="11">
        <v>42169</v>
      </c>
      <c r="E634" s="12">
        <v>43454</v>
      </c>
      <c r="F634" s="26" t="str">
        <f t="shared" si="20"/>
        <v>42 : 6</v>
      </c>
      <c r="G634" s="14">
        <f t="shared" si="21"/>
        <v>1285</v>
      </c>
      <c r="H634" s="9">
        <v>6</v>
      </c>
      <c r="I634" s="9" t="s">
        <v>155</v>
      </c>
      <c r="J634" s="9" t="s">
        <v>33</v>
      </c>
      <c r="K634" s="9" t="s">
        <v>33</v>
      </c>
      <c r="L634" s="20">
        <v>0.5</v>
      </c>
      <c r="M634" s="14">
        <v>0.5</v>
      </c>
      <c r="AD634" s="14">
        <v>0</v>
      </c>
      <c r="AE634" s="14">
        <v>0</v>
      </c>
      <c r="AG634" s="14" t="s">
        <v>515</v>
      </c>
    </row>
    <row r="635" spans="1:34" s="14" customFormat="1" x14ac:dyDescent="0.25">
      <c r="A635" s="10" t="s">
        <v>802</v>
      </c>
      <c r="B635" s="10"/>
      <c r="C635" s="10">
        <v>1</v>
      </c>
      <c r="D635" s="11">
        <v>42169</v>
      </c>
      <c r="E635" s="12">
        <v>43454</v>
      </c>
      <c r="F635" s="26" t="str">
        <f t="shared" si="20"/>
        <v>42 : 6</v>
      </c>
      <c r="G635" s="14">
        <f t="shared" si="21"/>
        <v>1285</v>
      </c>
      <c r="H635" s="9">
        <v>6</v>
      </c>
      <c r="I635" s="9" t="s">
        <v>156</v>
      </c>
      <c r="J635" s="9" t="s">
        <v>30</v>
      </c>
      <c r="K635" s="9" t="s">
        <v>40</v>
      </c>
      <c r="L635" s="20">
        <v>0.5</v>
      </c>
      <c r="M635" s="14">
        <v>-0.5</v>
      </c>
      <c r="Y635" s="14">
        <v>1</v>
      </c>
      <c r="AD635" s="14">
        <v>0</v>
      </c>
      <c r="AE635" s="14">
        <v>0</v>
      </c>
      <c r="AF635" s="14" t="s">
        <v>808</v>
      </c>
      <c r="AG635" s="14" t="s">
        <v>216</v>
      </c>
    </row>
    <row r="636" spans="1:34" s="14" customFormat="1" x14ac:dyDescent="0.25">
      <c r="A636" s="10" t="s">
        <v>802</v>
      </c>
      <c r="B636" s="10"/>
      <c r="C636" s="10">
        <v>1</v>
      </c>
      <c r="D636" s="11">
        <v>42169</v>
      </c>
      <c r="E636" s="12">
        <v>43454</v>
      </c>
      <c r="F636" s="26" t="str">
        <f t="shared" si="20"/>
        <v>42 : 6</v>
      </c>
      <c r="G636" s="14">
        <f t="shared" si="21"/>
        <v>1285</v>
      </c>
      <c r="H636" s="9">
        <v>6</v>
      </c>
      <c r="I636" s="9" t="s">
        <v>157</v>
      </c>
      <c r="J636" s="9" t="s">
        <v>32</v>
      </c>
      <c r="K636" s="9" t="s">
        <v>35</v>
      </c>
      <c r="L636" s="20">
        <v>-0.5</v>
      </c>
      <c r="M636" s="14">
        <v>-0.5</v>
      </c>
      <c r="Q636" s="14">
        <v>1</v>
      </c>
      <c r="AD636" s="14">
        <v>0</v>
      </c>
      <c r="AE636" s="14">
        <v>1</v>
      </c>
      <c r="AF636" s="14" t="s">
        <v>809</v>
      </c>
      <c r="AG636" s="14" t="s">
        <v>515</v>
      </c>
    </row>
    <row r="637" spans="1:34" s="14" customFormat="1" x14ac:dyDescent="0.25">
      <c r="A637" s="10" t="s">
        <v>802</v>
      </c>
      <c r="B637" s="10"/>
      <c r="C637" s="10">
        <v>1</v>
      </c>
      <c r="D637" s="11">
        <v>42169</v>
      </c>
      <c r="E637" s="12">
        <v>43454</v>
      </c>
      <c r="F637" s="26" t="str">
        <f t="shared" si="20"/>
        <v>42 : 6</v>
      </c>
      <c r="G637" s="14">
        <f t="shared" si="21"/>
        <v>1285</v>
      </c>
      <c r="H637" s="9">
        <v>6</v>
      </c>
      <c r="I637" s="9" t="s">
        <v>158</v>
      </c>
      <c r="J637" s="9" t="s">
        <v>39</v>
      </c>
      <c r="K637" s="9" t="s">
        <v>39</v>
      </c>
      <c r="L637" s="20">
        <v>-0.5</v>
      </c>
      <c r="M637" s="14">
        <v>0.5</v>
      </c>
      <c r="AD637" s="14">
        <v>0</v>
      </c>
      <c r="AE637" s="14">
        <v>1</v>
      </c>
      <c r="AG637" s="14" t="s">
        <v>415</v>
      </c>
    </row>
    <row r="638" spans="1:34" s="14" customFormat="1" x14ac:dyDescent="0.25">
      <c r="A638" s="10" t="s">
        <v>810</v>
      </c>
      <c r="B638" s="10"/>
      <c r="C638" s="10">
        <v>1</v>
      </c>
      <c r="D638" s="11">
        <v>42177</v>
      </c>
      <c r="E638" s="12">
        <v>43472</v>
      </c>
      <c r="F638" s="26" t="str">
        <f t="shared" si="20"/>
        <v>42 : 16</v>
      </c>
      <c r="G638" s="14">
        <f t="shared" si="21"/>
        <v>1295</v>
      </c>
      <c r="H638" s="9">
        <v>8</v>
      </c>
      <c r="I638" s="9" t="s">
        <v>143</v>
      </c>
      <c r="J638" s="9" t="s">
        <v>40</v>
      </c>
      <c r="K638" s="9" t="s">
        <v>39</v>
      </c>
      <c r="L638" s="20">
        <v>-0.5</v>
      </c>
      <c r="M638" s="14">
        <v>-0.5</v>
      </c>
      <c r="S638" s="14">
        <v>0</v>
      </c>
      <c r="Z638" s="14">
        <v>1</v>
      </c>
      <c r="AA638" s="14">
        <v>1</v>
      </c>
      <c r="AF638" s="14" t="s">
        <v>811</v>
      </c>
      <c r="AG638" s="14" t="s">
        <v>812</v>
      </c>
      <c r="AH638" s="14" t="s">
        <v>813</v>
      </c>
    </row>
    <row r="639" spans="1:34" s="14" customFormat="1" x14ac:dyDescent="0.25">
      <c r="A639" s="10" t="s">
        <v>810</v>
      </c>
      <c r="B639" s="10"/>
      <c r="C639" s="10">
        <v>1</v>
      </c>
      <c r="D639" s="11">
        <v>42177</v>
      </c>
      <c r="E639" s="12">
        <v>43472</v>
      </c>
      <c r="F639" s="26" t="str">
        <f t="shared" si="20"/>
        <v>42 : 16</v>
      </c>
      <c r="G639" s="14">
        <f t="shared" si="21"/>
        <v>1295</v>
      </c>
      <c r="H639" s="9">
        <v>8</v>
      </c>
      <c r="I639" s="9" t="s">
        <v>145</v>
      </c>
      <c r="J639" s="9" t="s">
        <v>35</v>
      </c>
      <c r="K639" s="9" t="s">
        <v>33</v>
      </c>
      <c r="L639" s="20">
        <v>0.5</v>
      </c>
      <c r="M639" s="14">
        <v>-0.5</v>
      </c>
      <c r="Q639" s="14">
        <v>1</v>
      </c>
      <c r="AD639" s="14">
        <v>0</v>
      </c>
      <c r="AE639" s="14">
        <v>0</v>
      </c>
      <c r="AF639" s="14" t="s">
        <v>814</v>
      </c>
      <c r="AG639" s="14" t="s">
        <v>49</v>
      </c>
    </row>
    <row r="640" spans="1:34" s="14" customFormat="1" x14ac:dyDescent="0.25">
      <c r="A640" s="10" t="s">
        <v>810</v>
      </c>
      <c r="B640" s="10"/>
      <c r="C640" s="10">
        <v>1</v>
      </c>
      <c r="D640" s="11">
        <v>42177</v>
      </c>
      <c r="E640" s="12">
        <v>43472</v>
      </c>
      <c r="F640" s="26" t="str">
        <f t="shared" si="20"/>
        <v>42 : 16</v>
      </c>
      <c r="G640" s="14">
        <f t="shared" si="21"/>
        <v>1295</v>
      </c>
      <c r="H640" s="9">
        <v>8</v>
      </c>
      <c r="I640" s="9" t="s">
        <v>146</v>
      </c>
      <c r="J640" s="9" t="s">
        <v>32</v>
      </c>
      <c r="K640" s="9" t="s">
        <v>32</v>
      </c>
      <c r="L640" s="20">
        <v>-0.5</v>
      </c>
      <c r="M640" s="14">
        <v>0.5</v>
      </c>
      <c r="AD640" s="14">
        <v>0</v>
      </c>
      <c r="AE640" s="14">
        <v>1</v>
      </c>
      <c r="AG640" s="14" t="s">
        <v>41</v>
      </c>
    </row>
    <row r="641" spans="1:34" s="14" customFormat="1" x14ac:dyDescent="0.25">
      <c r="A641" s="10" t="s">
        <v>810</v>
      </c>
      <c r="B641" s="10"/>
      <c r="C641" s="10">
        <v>1</v>
      </c>
      <c r="D641" s="11">
        <v>42177</v>
      </c>
      <c r="E641" s="12">
        <v>43472</v>
      </c>
      <c r="F641" s="26" t="str">
        <f t="shared" si="20"/>
        <v>42 : 16</v>
      </c>
      <c r="G641" s="14">
        <f t="shared" si="21"/>
        <v>1295</v>
      </c>
      <c r="H641" s="9">
        <v>8</v>
      </c>
      <c r="I641" s="9" t="s">
        <v>147</v>
      </c>
      <c r="J641" s="9" t="s">
        <v>35</v>
      </c>
      <c r="K641" s="9" t="s">
        <v>35</v>
      </c>
      <c r="L641" s="20">
        <v>-0.5</v>
      </c>
      <c r="M641" s="14">
        <v>0.5</v>
      </c>
      <c r="Q641" s="14">
        <v>1</v>
      </c>
      <c r="AD641" s="14">
        <v>0</v>
      </c>
      <c r="AE641" s="14">
        <v>1</v>
      </c>
      <c r="AF641" s="14" t="s">
        <v>815</v>
      </c>
      <c r="AG641" s="14" t="s">
        <v>816</v>
      </c>
      <c r="AH641" s="14" t="s">
        <v>813</v>
      </c>
    </row>
    <row r="642" spans="1:34" s="14" customFormat="1" x14ac:dyDescent="0.25">
      <c r="A642" s="10" t="s">
        <v>810</v>
      </c>
      <c r="B642" s="10"/>
      <c r="C642" s="10">
        <v>1</v>
      </c>
      <c r="D642" s="11">
        <v>42177</v>
      </c>
      <c r="E642" s="12">
        <v>43472</v>
      </c>
      <c r="F642" s="26" t="str">
        <f t="shared" si="20"/>
        <v>42 : 16</v>
      </c>
      <c r="G642" s="14">
        <f t="shared" si="21"/>
        <v>1295</v>
      </c>
      <c r="H642" s="9">
        <v>8</v>
      </c>
      <c r="I642" s="9" t="s">
        <v>148</v>
      </c>
      <c r="J642" s="9" t="s">
        <v>33</v>
      </c>
      <c r="K642" s="9" t="s">
        <v>32</v>
      </c>
      <c r="L642" s="20">
        <v>0.5</v>
      </c>
      <c r="M642" s="14">
        <v>-0.5</v>
      </c>
      <c r="AD642" s="14">
        <v>0</v>
      </c>
      <c r="AE642" s="14">
        <v>0</v>
      </c>
      <c r="AG642" s="14" t="s">
        <v>98</v>
      </c>
    </row>
    <row r="643" spans="1:34" s="14" customFormat="1" x14ac:dyDescent="0.25">
      <c r="A643" s="10" t="s">
        <v>810</v>
      </c>
      <c r="B643" s="10"/>
      <c r="C643" s="10">
        <v>1</v>
      </c>
      <c r="D643" s="11">
        <v>42177</v>
      </c>
      <c r="E643" s="12">
        <v>43472</v>
      </c>
      <c r="F643" s="26" t="str">
        <f t="shared" si="20"/>
        <v>42 : 16</v>
      </c>
      <c r="G643" s="14">
        <f t="shared" si="21"/>
        <v>1295</v>
      </c>
      <c r="H643" s="9">
        <v>8</v>
      </c>
      <c r="I643" s="9" t="s">
        <v>152</v>
      </c>
      <c r="J643" s="9" t="s">
        <v>30</v>
      </c>
      <c r="K643" s="9" t="s">
        <v>30</v>
      </c>
      <c r="L643" s="20">
        <v>0.5</v>
      </c>
      <c r="M643" s="14">
        <v>0.5</v>
      </c>
      <c r="R643" s="14">
        <v>1</v>
      </c>
      <c r="AD643" s="14">
        <v>0</v>
      </c>
      <c r="AE643" s="14">
        <v>0</v>
      </c>
      <c r="AF643" s="14" t="s">
        <v>817</v>
      </c>
      <c r="AG643" s="14" t="s">
        <v>98</v>
      </c>
    </row>
    <row r="644" spans="1:34" s="14" customFormat="1" x14ac:dyDescent="0.25">
      <c r="A644" s="10" t="s">
        <v>810</v>
      </c>
      <c r="B644" s="10"/>
      <c r="C644" s="10">
        <v>1</v>
      </c>
      <c r="D644" s="11">
        <v>42177</v>
      </c>
      <c r="E644" s="12">
        <v>43472</v>
      </c>
      <c r="F644" s="26" t="str">
        <f t="shared" si="20"/>
        <v>42 : 16</v>
      </c>
      <c r="G644" s="14">
        <f t="shared" si="21"/>
        <v>1295</v>
      </c>
      <c r="H644" s="9">
        <v>8</v>
      </c>
      <c r="I644" s="9" t="s">
        <v>153</v>
      </c>
      <c r="J644" s="9" t="s">
        <v>39</v>
      </c>
      <c r="K644" s="9" t="s">
        <v>39</v>
      </c>
      <c r="L644" s="20">
        <v>-0.5</v>
      </c>
      <c r="M644" s="9">
        <v>0.5</v>
      </c>
      <c r="O644" s="14">
        <v>1</v>
      </c>
      <c r="AD644" s="14">
        <v>0</v>
      </c>
      <c r="AE644" s="14">
        <v>1</v>
      </c>
      <c r="AG644" s="14" t="s">
        <v>818</v>
      </c>
    </row>
    <row r="645" spans="1:34" s="14" customFormat="1" x14ac:dyDescent="0.25">
      <c r="A645" s="10" t="s">
        <v>810</v>
      </c>
      <c r="B645" s="10"/>
      <c r="C645" s="10">
        <v>1</v>
      </c>
      <c r="D645" s="11">
        <v>42177</v>
      </c>
      <c r="E645" s="12">
        <v>43472</v>
      </c>
      <c r="F645" s="26" t="str">
        <f t="shared" si="20"/>
        <v>42 : 16</v>
      </c>
      <c r="G645" s="14">
        <f t="shared" si="21"/>
        <v>1295</v>
      </c>
      <c r="H645" s="9">
        <v>8</v>
      </c>
      <c r="I645" s="9" t="s">
        <v>154</v>
      </c>
      <c r="J645" s="9" t="s">
        <v>40</v>
      </c>
      <c r="K645" s="9" t="s">
        <v>819</v>
      </c>
      <c r="L645" s="20">
        <v>0.5</v>
      </c>
      <c r="M645" s="14">
        <v>0.5</v>
      </c>
      <c r="N645" s="14">
        <v>1</v>
      </c>
      <c r="Q645" s="14">
        <v>1</v>
      </c>
      <c r="AF645" s="14" t="s">
        <v>820</v>
      </c>
      <c r="AG645" s="14" t="s">
        <v>821</v>
      </c>
      <c r="AH645" s="14" t="s">
        <v>813</v>
      </c>
    </row>
    <row r="646" spans="1:34" s="14" customFormat="1" x14ac:dyDescent="0.25">
      <c r="A646" s="10" t="s">
        <v>810</v>
      </c>
      <c r="B646" s="10"/>
      <c r="C646" s="10">
        <v>1</v>
      </c>
      <c r="D646" s="11">
        <v>42177</v>
      </c>
      <c r="E646" s="12">
        <v>43472</v>
      </c>
      <c r="F646" s="26" t="str">
        <f t="shared" si="20"/>
        <v>42 : 16</v>
      </c>
      <c r="G646" s="14">
        <f t="shared" si="21"/>
        <v>1295</v>
      </c>
      <c r="H646" s="9">
        <v>8</v>
      </c>
      <c r="I646" s="9" t="s">
        <v>155</v>
      </c>
      <c r="J646" s="9" t="s">
        <v>33</v>
      </c>
      <c r="K646" s="9" t="s">
        <v>33</v>
      </c>
      <c r="L646" s="20">
        <v>-0.5</v>
      </c>
      <c r="M646" s="14">
        <v>0.5</v>
      </c>
      <c r="AD646" s="14">
        <v>0</v>
      </c>
      <c r="AE646" s="14">
        <v>1</v>
      </c>
      <c r="AG646" s="14" t="s">
        <v>822</v>
      </c>
    </row>
    <row r="647" spans="1:34" s="14" customFormat="1" x14ac:dyDescent="0.25">
      <c r="A647" s="10" t="s">
        <v>810</v>
      </c>
      <c r="B647" s="10"/>
      <c r="C647" s="10">
        <v>1</v>
      </c>
      <c r="D647" s="11">
        <v>42177</v>
      </c>
      <c r="E647" s="12">
        <v>43472</v>
      </c>
      <c r="F647" s="26" t="str">
        <f t="shared" si="20"/>
        <v>42 : 16</v>
      </c>
      <c r="G647" s="14">
        <f t="shared" si="21"/>
        <v>1295</v>
      </c>
      <c r="H647" s="9">
        <v>8</v>
      </c>
      <c r="I647" s="9" t="s">
        <v>156</v>
      </c>
      <c r="J647" s="9" t="s">
        <v>30</v>
      </c>
      <c r="K647" s="9" t="s">
        <v>40</v>
      </c>
      <c r="L647" s="20">
        <v>-0.5</v>
      </c>
      <c r="M647" s="14">
        <v>-0.5</v>
      </c>
      <c r="AD647" s="14">
        <v>0</v>
      </c>
      <c r="AE647" s="14">
        <v>1</v>
      </c>
      <c r="AG647" s="14" t="s">
        <v>823</v>
      </c>
      <c r="AH647" s="14" t="s">
        <v>824</v>
      </c>
    </row>
    <row r="648" spans="1:34" s="14" customFormat="1" x14ac:dyDescent="0.25">
      <c r="A648" s="10" t="s">
        <v>810</v>
      </c>
      <c r="B648" s="10"/>
      <c r="C648" s="10">
        <v>1</v>
      </c>
      <c r="D648" s="11">
        <v>42177</v>
      </c>
      <c r="E648" s="12">
        <v>43472</v>
      </c>
      <c r="F648" s="26" t="str">
        <f t="shared" si="20"/>
        <v>42 : 16</v>
      </c>
      <c r="G648" s="14">
        <f t="shared" si="21"/>
        <v>1295</v>
      </c>
      <c r="H648" s="9">
        <v>8</v>
      </c>
      <c r="I648" s="9" t="s">
        <v>157</v>
      </c>
      <c r="J648" s="9" t="s">
        <v>32</v>
      </c>
      <c r="K648" s="9" t="s">
        <v>35</v>
      </c>
      <c r="L648" s="20">
        <v>0.5</v>
      </c>
      <c r="M648" s="14">
        <v>-0.5</v>
      </c>
      <c r="AD648" s="14">
        <v>0</v>
      </c>
      <c r="AE648" s="14">
        <v>0</v>
      </c>
      <c r="AG648" s="14" t="s">
        <v>822</v>
      </c>
    </row>
    <row r="649" spans="1:34" s="14" customFormat="1" x14ac:dyDescent="0.25">
      <c r="A649" s="10" t="s">
        <v>810</v>
      </c>
      <c r="B649" s="10"/>
      <c r="C649" s="10">
        <v>1</v>
      </c>
      <c r="D649" s="11">
        <v>42177</v>
      </c>
      <c r="E649" s="12">
        <v>43472</v>
      </c>
      <c r="F649" s="26" t="str">
        <f t="shared" si="20"/>
        <v>42 : 16</v>
      </c>
      <c r="G649" s="14">
        <f t="shared" si="21"/>
        <v>1295</v>
      </c>
      <c r="H649" s="9">
        <v>8</v>
      </c>
      <c r="I649" s="9" t="s">
        <v>158</v>
      </c>
      <c r="J649" s="9" t="s">
        <v>39</v>
      </c>
      <c r="K649" s="9" t="s">
        <v>39</v>
      </c>
      <c r="L649" s="20">
        <v>0.5</v>
      </c>
      <c r="M649" s="14">
        <v>0.5</v>
      </c>
      <c r="AD649" s="14">
        <v>0</v>
      </c>
      <c r="AE649" s="14">
        <v>0</v>
      </c>
      <c r="AG649" s="14" t="s">
        <v>825</v>
      </c>
    </row>
    <row r="650" spans="1:34" s="14" customFormat="1" x14ac:dyDescent="0.25">
      <c r="A650" s="10" t="s">
        <v>826</v>
      </c>
      <c r="B650" s="10"/>
      <c r="C650" s="10">
        <v>1</v>
      </c>
      <c r="D650" s="11">
        <v>42184</v>
      </c>
      <c r="E650" s="12">
        <v>43483</v>
      </c>
      <c r="F650" s="26" t="str">
        <f t="shared" si="20"/>
        <v>42 : 20</v>
      </c>
      <c r="G650" s="14">
        <f t="shared" si="21"/>
        <v>1299</v>
      </c>
      <c r="H650" s="9">
        <v>5</v>
      </c>
      <c r="I650" s="9">
        <v>6</v>
      </c>
      <c r="J650" s="9" t="s">
        <v>39</v>
      </c>
      <c r="K650" s="9" t="s">
        <v>40</v>
      </c>
      <c r="L650" s="20">
        <v>0.5</v>
      </c>
      <c r="M650" s="14">
        <v>-0.5</v>
      </c>
      <c r="AD650" s="14">
        <v>0</v>
      </c>
      <c r="AE650" s="14">
        <v>0</v>
      </c>
      <c r="AG650" s="14" t="s">
        <v>827</v>
      </c>
      <c r="AH650" s="14" t="s">
        <v>280</v>
      </c>
    </row>
    <row r="651" spans="1:34" s="14" customFormat="1" x14ac:dyDescent="0.25">
      <c r="A651" s="10" t="s">
        <v>826</v>
      </c>
      <c r="B651" s="10"/>
      <c r="C651" s="10">
        <v>1</v>
      </c>
      <c r="D651" s="11">
        <v>42184</v>
      </c>
      <c r="E651" s="12">
        <v>43483</v>
      </c>
      <c r="F651" s="26" t="str">
        <f t="shared" si="20"/>
        <v>42 : 20</v>
      </c>
      <c r="G651" s="14">
        <f t="shared" si="21"/>
        <v>1299</v>
      </c>
      <c r="H651" s="9">
        <v>5</v>
      </c>
      <c r="I651" s="9">
        <v>5</v>
      </c>
      <c r="J651" s="9" t="s">
        <v>33</v>
      </c>
      <c r="K651" s="9" t="s">
        <v>35</v>
      </c>
      <c r="L651" s="20">
        <v>-0.5</v>
      </c>
      <c r="M651" s="14">
        <v>-0.5</v>
      </c>
      <c r="AD651" s="14">
        <v>0</v>
      </c>
      <c r="AE651" s="14">
        <v>1</v>
      </c>
      <c r="AG651" s="14" t="s">
        <v>343</v>
      </c>
    </row>
    <row r="652" spans="1:34" s="14" customFormat="1" x14ac:dyDescent="0.25">
      <c r="A652" s="10" t="s">
        <v>826</v>
      </c>
      <c r="B652" s="10"/>
      <c r="C652" s="10">
        <v>1</v>
      </c>
      <c r="D652" s="11">
        <v>42184</v>
      </c>
      <c r="E652" s="12">
        <v>43483</v>
      </c>
      <c r="F652" s="26" t="str">
        <f t="shared" si="20"/>
        <v>42 : 20</v>
      </c>
      <c r="G652" s="14">
        <f t="shared" si="21"/>
        <v>1299</v>
      </c>
      <c r="H652" s="9">
        <v>5</v>
      </c>
      <c r="I652" s="9">
        <v>4</v>
      </c>
      <c r="J652" s="9" t="s">
        <v>32</v>
      </c>
      <c r="K652" s="9" t="s">
        <v>32</v>
      </c>
      <c r="L652" s="20">
        <v>0.5</v>
      </c>
      <c r="M652" s="14">
        <v>0.5</v>
      </c>
      <c r="AD652" s="14">
        <v>0</v>
      </c>
      <c r="AE652" s="14">
        <v>0</v>
      </c>
      <c r="AG652" s="14" t="s">
        <v>305</v>
      </c>
    </row>
    <row r="653" spans="1:34" s="14" customFormat="1" x14ac:dyDescent="0.25">
      <c r="A653" s="10" t="s">
        <v>826</v>
      </c>
      <c r="B653" s="10"/>
      <c r="C653" s="10">
        <v>1</v>
      </c>
      <c r="D653" s="11">
        <v>42184</v>
      </c>
      <c r="E653" s="12">
        <v>43483</v>
      </c>
      <c r="F653" s="26" t="str">
        <f t="shared" si="20"/>
        <v>42 : 20</v>
      </c>
      <c r="G653" s="14">
        <f t="shared" si="21"/>
        <v>1299</v>
      </c>
      <c r="H653" s="9">
        <v>5</v>
      </c>
      <c r="I653" s="9">
        <v>3</v>
      </c>
      <c r="J653" s="9" t="s">
        <v>35</v>
      </c>
      <c r="K653" s="9" t="s">
        <v>35</v>
      </c>
      <c r="L653" s="20">
        <v>0.5</v>
      </c>
      <c r="M653" s="14">
        <v>0.5</v>
      </c>
      <c r="AD653" s="14">
        <v>0</v>
      </c>
      <c r="AE653" s="14">
        <v>0</v>
      </c>
      <c r="AG653" s="14" t="s">
        <v>669</v>
      </c>
      <c r="AH653" s="14" t="s">
        <v>799</v>
      </c>
    </row>
    <row r="654" spans="1:34" s="14" customFormat="1" x14ac:dyDescent="0.25">
      <c r="A654" s="10" t="s">
        <v>826</v>
      </c>
      <c r="B654" s="10"/>
      <c r="C654" s="10">
        <v>1</v>
      </c>
      <c r="D654" s="11">
        <v>42184</v>
      </c>
      <c r="E654" s="12">
        <v>43483</v>
      </c>
      <c r="F654" s="26" t="str">
        <f t="shared" si="20"/>
        <v>42 : 20</v>
      </c>
      <c r="G654" s="14">
        <f t="shared" si="21"/>
        <v>1299</v>
      </c>
      <c r="H654" s="9">
        <v>5</v>
      </c>
      <c r="I654" s="9">
        <v>2</v>
      </c>
      <c r="J654" s="9" t="s">
        <v>32</v>
      </c>
      <c r="K654" s="9" t="s">
        <v>33</v>
      </c>
      <c r="L654" s="20">
        <v>-0.5</v>
      </c>
      <c r="M654" s="14">
        <v>-0.5</v>
      </c>
      <c r="S654" s="14">
        <v>0</v>
      </c>
      <c r="AD654" s="14">
        <v>0</v>
      </c>
      <c r="AE654" s="14">
        <v>1</v>
      </c>
      <c r="AF654" s="14" t="s">
        <v>828</v>
      </c>
      <c r="AG654" s="14" t="s">
        <v>829</v>
      </c>
    </row>
    <row r="655" spans="1:34" s="14" customFormat="1" x14ac:dyDescent="0.25">
      <c r="A655" s="10" t="s">
        <v>826</v>
      </c>
      <c r="B655" s="10"/>
      <c r="C655" s="10">
        <v>1</v>
      </c>
      <c r="D655" s="11">
        <v>42184</v>
      </c>
      <c r="E655" s="12">
        <v>43483</v>
      </c>
      <c r="F655" s="26" t="str">
        <f t="shared" si="20"/>
        <v>42 : 20</v>
      </c>
      <c r="G655" s="14">
        <f t="shared" si="21"/>
        <v>1299</v>
      </c>
      <c r="H655" s="9">
        <v>5</v>
      </c>
      <c r="I655" s="9">
        <v>1</v>
      </c>
      <c r="J655" s="9" t="s">
        <v>30</v>
      </c>
      <c r="K655" s="9" t="s">
        <v>30</v>
      </c>
      <c r="L655" s="20">
        <v>-0.5</v>
      </c>
      <c r="M655" s="14">
        <v>0.5</v>
      </c>
      <c r="R655" s="14">
        <v>1</v>
      </c>
      <c r="S655" s="14">
        <v>0</v>
      </c>
      <c r="Y655" s="14">
        <v>1</v>
      </c>
      <c r="AD655" s="14">
        <v>0</v>
      </c>
      <c r="AE655" s="14">
        <v>1</v>
      </c>
      <c r="AF655" s="14" t="s">
        <v>830</v>
      </c>
      <c r="AG655" s="14" t="s">
        <v>831</v>
      </c>
      <c r="AH655" s="14" t="s">
        <v>280</v>
      </c>
    </row>
    <row r="656" spans="1:34" s="14" customFormat="1" x14ac:dyDescent="0.25">
      <c r="A656" s="10" t="s">
        <v>826</v>
      </c>
      <c r="B656" s="10"/>
      <c r="C656" s="10">
        <v>1</v>
      </c>
      <c r="D656" s="11">
        <v>42184</v>
      </c>
      <c r="E656" s="12">
        <v>43483</v>
      </c>
      <c r="F656" s="26" t="str">
        <f t="shared" si="20"/>
        <v>42 : 20</v>
      </c>
      <c r="G656" s="14">
        <f t="shared" si="21"/>
        <v>1299</v>
      </c>
      <c r="H656" s="9">
        <v>5</v>
      </c>
      <c r="I656" s="9">
        <v>12</v>
      </c>
      <c r="J656" s="9" t="s">
        <v>30</v>
      </c>
      <c r="K656" s="9" t="s">
        <v>39</v>
      </c>
      <c r="L656" s="20">
        <v>0.5</v>
      </c>
      <c r="M656" s="14">
        <v>-0.5</v>
      </c>
      <c r="R656" s="14">
        <v>1</v>
      </c>
      <c r="S656" s="14">
        <v>1</v>
      </c>
      <c r="AD656" s="14">
        <v>0</v>
      </c>
      <c r="AE656" s="14">
        <v>0</v>
      </c>
      <c r="AF656" s="14" t="s">
        <v>832</v>
      </c>
      <c r="AG656" s="14" t="s">
        <v>93</v>
      </c>
    </row>
    <row r="657" spans="1:34" s="14" customFormat="1" x14ac:dyDescent="0.25">
      <c r="A657" s="10" t="s">
        <v>826</v>
      </c>
      <c r="B657" s="10"/>
      <c r="C657" s="10">
        <v>1</v>
      </c>
      <c r="D657" s="11">
        <v>42184</v>
      </c>
      <c r="E657" s="12">
        <v>43483</v>
      </c>
      <c r="F657" s="26" t="str">
        <f t="shared" si="20"/>
        <v>42 : 20</v>
      </c>
      <c r="G657" s="14">
        <f t="shared" si="21"/>
        <v>1299</v>
      </c>
      <c r="H657" s="9">
        <v>5</v>
      </c>
      <c r="I657" s="9">
        <v>11</v>
      </c>
      <c r="J657" s="9" t="s">
        <v>40</v>
      </c>
      <c r="K657" s="9" t="s">
        <v>40</v>
      </c>
      <c r="L657" s="20">
        <v>-0.5</v>
      </c>
      <c r="M657" s="14">
        <v>0.5</v>
      </c>
      <c r="AD657" s="14">
        <v>0</v>
      </c>
      <c r="AE657" s="14">
        <v>1</v>
      </c>
      <c r="AG657" s="14" t="s">
        <v>138</v>
      </c>
    </row>
    <row r="658" spans="1:34" s="14" customFormat="1" x14ac:dyDescent="0.25">
      <c r="A658" s="10" t="s">
        <v>826</v>
      </c>
      <c r="B658" s="10"/>
      <c r="C658" s="10">
        <v>1</v>
      </c>
      <c r="D658" s="11">
        <v>42184</v>
      </c>
      <c r="E658" s="12">
        <v>43483</v>
      </c>
      <c r="F658" s="26" t="str">
        <f t="shared" si="20"/>
        <v>42 : 20</v>
      </c>
      <c r="G658" s="14">
        <f t="shared" si="21"/>
        <v>1299</v>
      </c>
      <c r="H658" s="9">
        <v>5</v>
      </c>
      <c r="I658" s="9">
        <v>10</v>
      </c>
      <c r="J658" s="9" t="s">
        <v>33</v>
      </c>
      <c r="K658" s="9" t="s">
        <v>33</v>
      </c>
      <c r="L658" s="20">
        <v>0.5</v>
      </c>
      <c r="M658" s="14">
        <v>0.5</v>
      </c>
      <c r="Q658" s="14">
        <v>1</v>
      </c>
      <c r="S658" s="14">
        <v>0</v>
      </c>
      <c r="AD658" s="14">
        <v>0</v>
      </c>
      <c r="AE658" s="14">
        <v>0</v>
      </c>
      <c r="AF658" s="14" t="s">
        <v>833</v>
      </c>
      <c r="AG658" s="14" t="s">
        <v>669</v>
      </c>
      <c r="AH658" s="14" t="s">
        <v>539</v>
      </c>
    </row>
    <row r="659" spans="1:34" s="14" customFormat="1" x14ac:dyDescent="0.25">
      <c r="A659" s="10" t="s">
        <v>826</v>
      </c>
      <c r="B659" s="10"/>
      <c r="C659" s="10">
        <v>1</v>
      </c>
      <c r="D659" s="11">
        <v>42184</v>
      </c>
      <c r="E659" s="12">
        <v>43483</v>
      </c>
      <c r="F659" s="26" t="str">
        <f t="shared" si="20"/>
        <v>42 : 20</v>
      </c>
      <c r="G659" s="14">
        <f t="shared" si="21"/>
        <v>1299</v>
      </c>
      <c r="H659" s="9">
        <v>5</v>
      </c>
      <c r="I659" s="9">
        <v>9</v>
      </c>
      <c r="J659" s="9" t="s">
        <v>40</v>
      </c>
      <c r="K659" s="9" t="s">
        <v>30</v>
      </c>
      <c r="L659" s="20">
        <v>0.5</v>
      </c>
      <c r="M659" s="14">
        <v>-0.5</v>
      </c>
      <c r="AD659" s="14">
        <v>0</v>
      </c>
      <c r="AE659" s="14">
        <v>0</v>
      </c>
      <c r="AG659" s="14" t="s">
        <v>90</v>
      </c>
    </row>
    <row r="660" spans="1:34" s="14" customFormat="1" x14ac:dyDescent="0.25">
      <c r="A660" s="10" t="s">
        <v>826</v>
      </c>
      <c r="B660" s="10"/>
      <c r="C660" s="10">
        <v>1</v>
      </c>
      <c r="D660" s="11">
        <v>42184</v>
      </c>
      <c r="E660" s="12">
        <v>43483</v>
      </c>
      <c r="F660" s="26" t="str">
        <f t="shared" si="20"/>
        <v>42 : 20</v>
      </c>
      <c r="G660" s="14">
        <f t="shared" si="21"/>
        <v>1299</v>
      </c>
      <c r="H660" s="9">
        <v>5</v>
      </c>
      <c r="I660" s="9">
        <v>8</v>
      </c>
      <c r="J660" s="9" t="s">
        <v>35</v>
      </c>
      <c r="K660" s="9" t="s">
        <v>32</v>
      </c>
      <c r="L660" s="20">
        <v>-0.5</v>
      </c>
      <c r="M660" s="14">
        <v>-0.5</v>
      </c>
      <c r="S660" s="14">
        <v>0</v>
      </c>
      <c r="AD660" s="14">
        <v>0</v>
      </c>
      <c r="AE660" s="14">
        <v>1</v>
      </c>
      <c r="AF660" s="14" t="s">
        <v>834</v>
      </c>
      <c r="AG660" s="14" t="s">
        <v>57</v>
      </c>
    </row>
    <row r="661" spans="1:34" s="14" customFormat="1" x14ac:dyDescent="0.25">
      <c r="A661" s="10" t="s">
        <v>826</v>
      </c>
      <c r="B661" s="10"/>
      <c r="C661" s="10">
        <v>1</v>
      </c>
      <c r="D661" s="11">
        <v>42184</v>
      </c>
      <c r="E661" s="12">
        <v>43483</v>
      </c>
      <c r="F661" s="26" t="str">
        <f t="shared" si="20"/>
        <v>42 : 20</v>
      </c>
      <c r="G661" s="14">
        <f t="shared" si="21"/>
        <v>1299</v>
      </c>
      <c r="H661" s="9">
        <v>5</v>
      </c>
      <c r="I661" s="9">
        <v>7</v>
      </c>
      <c r="J661" s="9" t="s">
        <v>39</v>
      </c>
      <c r="K661" s="9" t="s">
        <v>39</v>
      </c>
      <c r="L661" s="20">
        <v>-0.5</v>
      </c>
      <c r="M661" s="14">
        <v>0.5</v>
      </c>
      <c r="AD661" s="14">
        <v>0</v>
      </c>
      <c r="AE661" s="14">
        <v>1</v>
      </c>
      <c r="AG661" s="14" t="s">
        <v>313</v>
      </c>
    </row>
    <row r="662" spans="1:34" s="14" customFormat="1" x14ac:dyDescent="0.25">
      <c r="A662" s="10" t="s">
        <v>835</v>
      </c>
      <c r="B662" s="10"/>
      <c r="C662" s="10">
        <v>1</v>
      </c>
      <c r="D662" s="11">
        <v>42172</v>
      </c>
      <c r="E662" s="12">
        <v>43476</v>
      </c>
      <c r="F662" s="26" t="str">
        <f t="shared" si="20"/>
        <v>42 : 25</v>
      </c>
      <c r="G662" s="14">
        <f t="shared" si="21"/>
        <v>1304</v>
      </c>
      <c r="H662" s="9">
        <v>3</v>
      </c>
      <c r="I662" s="9">
        <v>1</v>
      </c>
      <c r="J662" s="9" t="s">
        <v>30</v>
      </c>
      <c r="K662" s="9" t="s">
        <v>30</v>
      </c>
      <c r="L662" s="15">
        <v>0.5</v>
      </c>
      <c r="M662" s="14">
        <v>0.5</v>
      </c>
      <c r="Z662" s="14">
        <v>1</v>
      </c>
      <c r="AA662" s="14">
        <v>1</v>
      </c>
      <c r="AF662" s="14" t="s">
        <v>836</v>
      </c>
      <c r="AG662" s="14" t="s">
        <v>837</v>
      </c>
    </row>
    <row r="663" spans="1:34" s="14" customFormat="1" x14ac:dyDescent="0.25">
      <c r="A663" s="10" t="s">
        <v>835</v>
      </c>
      <c r="B663" s="10"/>
      <c r="C663" s="10">
        <v>1</v>
      </c>
      <c r="D663" s="11">
        <v>42172</v>
      </c>
      <c r="E663" s="12">
        <v>43476</v>
      </c>
      <c r="F663" s="26" t="str">
        <f t="shared" si="20"/>
        <v>42 : 25</v>
      </c>
      <c r="G663" s="14">
        <f t="shared" si="21"/>
        <v>1304</v>
      </c>
      <c r="H663" s="9">
        <v>3</v>
      </c>
      <c r="I663" s="9">
        <v>2</v>
      </c>
      <c r="J663" s="9" t="s">
        <v>32</v>
      </c>
      <c r="K663" s="9" t="s">
        <v>33</v>
      </c>
      <c r="L663" s="15">
        <v>0.5</v>
      </c>
      <c r="M663" s="14">
        <v>-0.5</v>
      </c>
      <c r="V663" s="14" t="s">
        <v>261</v>
      </c>
      <c r="W663" s="14">
        <v>1</v>
      </c>
      <c r="Y663" s="14">
        <v>1</v>
      </c>
      <c r="AA663" s="14">
        <v>1</v>
      </c>
      <c r="AD663" s="13"/>
      <c r="AE663" s="13"/>
      <c r="AF663" s="14" t="s">
        <v>838</v>
      </c>
      <c r="AG663" s="14" t="s">
        <v>839</v>
      </c>
    </row>
    <row r="664" spans="1:34" s="14" customFormat="1" x14ac:dyDescent="0.25">
      <c r="A664" s="10" t="s">
        <v>835</v>
      </c>
      <c r="B664" s="10"/>
      <c r="C664" s="10">
        <v>1</v>
      </c>
      <c r="D664" s="11">
        <v>42172</v>
      </c>
      <c r="E664" s="12">
        <v>43476</v>
      </c>
      <c r="F664" s="26" t="str">
        <f t="shared" si="20"/>
        <v>42 : 25</v>
      </c>
      <c r="G664" s="14">
        <f t="shared" si="21"/>
        <v>1304</v>
      </c>
      <c r="H664" s="9">
        <v>3</v>
      </c>
      <c r="I664" s="9">
        <v>3</v>
      </c>
      <c r="J664" s="9" t="s">
        <v>35</v>
      </c>
      <c r="K664" s="9" t="s">
        <v>35</v>
      </c>
      <c r="L664" s="15">
        <v>-0.5</v>
      </c>
      <c r="M664" s="14">
        <v>0.5</v>
      </c>
      <c r="AD664" s="14">
        <v>0</v>
      </c>
      <c r="AE664" s="14">
        <v>1</v>
      </c>
      <c r="AG664" s="14" t="s">
        <v>45</v>
      </c>
    </row>
    <row r="665" spans="1:34" s="14" customFormat="1" x14ac:dyDescent="0.25">
      <c r="A665" s="10" t="s">
        <v>835</v>
      </c>
      <c r="B665" s="10"/>
      <c r="C665" s="10">
        <v>1</v>
      </c>
      <c r="D665" s="11">
        <v>42172</v>
      </c>
      <c r="E665" s="12">
        <v>43476</v>
      </c>
      <c r="F665" s="26" t="str">
        <f t="shared" si="20"/>
        <v>42 : 25</v>
      </c>
      <c r="G665" s="14">
        <f t="shared" si="21"/>
        <v>1304</v>
      </c>
      <c r="H665" s="9">
        <v>3</v>
      </c>
      <c r="I665" s="9">
        <v>4</v>
      </c>
      <c r="J665" s="9" t="s">
        <v>32</v>
      </c>
      <c r="K665" s="9" t="s">
        <v>32</v>
      </c>
      <c r="L665" s="15">
        <v>-0.5</v>
      </c>
      <c r="M665" s="14">
        <v>0.5</v>
      </c>
      <c r="S665" s="14">
        <v>0</v>
      </c>
      <c r="AD665" s="14">
        <v>0</v>
      </c>
      <c r="AE665" s="14">
        <v>1</v>
      </c>
      <c r="AF665" s="14" t="s">
        <v>840</v>
      </c>
      <c r="AG665" s="14" t="s">
        <v>841</v>
      </c>
    </row>
    <row r="666" spans="1:34" s="14" customFormat="1" x14ac:dyDescent="0.25">
      <c r="A666" s="10" t="s">
        <v>835</v>
      </c>
      <c r="B666" s="10"/>
      <c r="C666" s="10">
        <v>1</v>
      </c>
      <c r="D666" s="11">
        <v>42172</v>
      </c>
      <c r="E666" s="12">
        <v>43476</v>
      </c>
      <c r="F666" s="26" t="str">
        <f t="shared" si="20"/>
        <v>42 : 25</v>
      </c>
      <c r="G666" s="14">
        <f t="shared" si="21"/>
        <v>1304</v>
      </c>
      <c r="H666" s="9">
        <v>3</v>
      </c>
      <c r="I666" s="9">
        <v>5</v>
      </c>
      <c r="J666" s="9" t="s">
        <v>33</v>
      </c>
      <c r="K666" s="9" t="s">
        <v>35</v>
      </c>
      <c r="L666" s="15">
        <v>0.5</v>
      </c>
      <c r="M666" s="14">
        <v>-0.5</v>
      </c>
      <c r="Y666" s="14">
        <v>1</v>
      </c>
      <c r="AD666" s="14">
        <v>0</v>
      </c>
      <c r="AE666" s="14">
        <v>0</v>
      </c>
      <c r="AF666" s="14" t="s">
        <v>842</v>
      </c>
      <c r="AG666" s="14" t="s">
        <v>343</v>
      </c>
    </row>
    <row r="667" spans="1:34" s="14" customFormat="1" x14ac:dyDescent="0.25">
      <c r="A667" s="10" t="s">
        <v>835</v>
      </c>
      <c r="B667" s="10"/>
      <c r="C667" s="10">
        <v>1</v>
      </c>
      <c r="D667" s="11">
        <v>42172</v>
      </c>
      <c r="E667" s="12">
        <v>43476</v>
      </c>
      <c r="F667" s="26" t="str">
        <f t="shared" si="20"/>
        <v>42 : 25</v>
      </c>
      <c r="G667" s="14">
        <f t="shared" si="21"/>
        <v>1304</v>
      </c>
      <c r="H667" s="9">
        <v>3</v>
      </c>
      <c r="I667" s="9">
        <v>6</v>
      </c>
      <c r="J667" s="9" t="s">
        <v>39</v>
      </c>
      <c r="K667" s="9" t="s">
        <v>40</v>
      </c>
      <c r="L667" s="15">
        <v>-0.5</v>
      </c>
      <c r="M667" s="14">
        <v>-0.5</v>
      </c>
      <c r="AD667" s="14">
        <v>0</v>
      </c>
      <c r="AE667" s="14">
        <v>1</v>
      </c>
      <c r="AG667" s="14" t="s">
        <v>293</v>
      </c>
    </row>
    <row r="668" spans="1:34" s="14" customFormat="1" x14ac:dyDescent="0.25">
      <c r="A668" s="10" t="s">
        <v>835</v>
      </c>
      <c r="B668" s="10"/>
      <c r="C668" s="10">
        <v>1</v>
      </c>
      <c r="D668" s="11">
        <v>42172</v>
      </c>
      <c r="E668" s="12">
        <v>43476</v>
      </c>
      <c r="F668" s="26" t="str">
        <f t="shared" si="20"/>
        <v>42 : 25</v>
      </c>
      <c r="G668" s="14">
        <f t="shared" si="21"/>
        <v>1304</v>
      </c>
      <c r="H668" s="9">
        <v>3</v>
      </c>
      <c r="I668" s="9">
        <v>7</v>
      </c>
      <c r="J668" s="9" t="s">
        <v>39</v>
      </c>
      <c r="K668" s="9" t="s">
        <v>39</v>
      </c>
      <c r="L668" s="15">
        <v>0.5</v>
      </c>
      <c r="M668" s="14">
        <v>0.5</v>
      </c>
      <c r="AD668" s="14">
        <v>1</v>
      </c>
      <c r="AE668" s="14">
        <v>1</v>
      </c>
      <c r="AG668" s="14" t="s">
        <v>88</v>
      </c>
    </row>
    <row r="669" spans="1:34" s="14" customFormat="1" x14ac:dyDescent="0.25">
      <c r="A669" s="10" t="s">
        <v>835</v>
      </c>
      <c r="B669" s="10"/>
      <c r="C669" s="10">
        <v>1</v>
      </c>
      <c r="D669" s="11">
        <v>42172</v>
      </c>
      <c r="E669" s="12">
        <v>43476</v>
      </c>
      <c r="F669" s="26" t="str">
        <f t="shared" si="20"/>
        <v>42 : 25</v>
      </c>
      <c r="G669" s="14">
        <f t="shared" si="21"/>
        <v>1304</v>
      </c>
      <c r="H669" s="9">
        <v>3</v>
      </c>
      <c r="I669" s="9">
        <v>8</v>
      </c>
      <c r="J669" s="9" t="s">
        <v>35</v>
      </c>
      <c r="K669" s="9" t="s">
        <v>32</v>
      </c>
      <c r="L669" s="15">
        <v>0.5</v>
      </c>
      <c r="M669" s="14">
        <v>-0.5</v>
      </c>
      <c r="AD669" s="14">
        <v>0</v>
      </c>
      <c r="AE669" s="14">
        <v>0</v>
      </c>
      <c r="AG669" s="14" t="s">
        <v>190</v>
      </c>
    </row>
    <row r="670" spans="1:34" s="14" customFormat="1" x14ac:dyDescent="0.25">
      <c r="A670" s="10" t="s">
        <v>835</v>
      </c>
      <c r="B670" s="10"/>
      <c r="C670" s="10">
        <v>1</v>
      </c>
      <c r="D670" s="11">
        <v>42172</v>
      </c>
      <c r="E670" s="12">
        <v>43476</v>
      </c>
      <c r="F670" s="26" t="str">
        <f t="shared" si="20"/>
        <v>42 : 25</v>
      </c>
      <c r="G670" s="14">
        <f t="shared" si="21"/>
        <v>1304</v>
      </c>
      <c r="H670" s="9">
        <v>3</v>
      </c>
      <c r="I670" s="9">
        <v>9</v>
      </c>
      <c r="J670" s="9" t="s">
        <v>40</v>
      </c>
      <c r="K670" s="9" t="s">
        <v>30</v>
      </c>
      <c r="L670" s="15">
        <v>-0.5</v>
      </c>
      <c r="M670" s="14">
        <v>-0.5</v>
      </c>
      <c r="AD670" s="14">
        <v>0</v>
      </c>
      <c r="AE670" s="14">
        <v>1</v>
      </c>
      <c r="AG670" s="14" t="s">
        <v>602</v>
      </c>
    </row>
    <row r="671" spans="1:34" s="14" customFormat="1" x14ac:dyDescent="0.25">
      <c r="A671" s="10" t="s">
        <v>835</v>
      </c>
      <c r="B671" s="10"/>
      <c r="C671" s="10">
        <v>1</v>
      </c>
      <c r="D671" s="11">
        <v>42172</v>
      </c>
      <c r="E671" s="12">
        <v>43476</v>
      </c>
      <c r="F671" s="26" t="str">
        <f t="shared" si="20"/>
        <v>42 : 25</v>
      </c>
      <c r="G671" s="14">
        <f t="shared" si="21"/>
        <v>1304</v>
      </c>
      <c r="H671" s="9">
        <v>3</v>
      </c>
      <c r="I671" s="9">
        <v>10</v>
      </c>
      <c r="J671" s="9" t="s">
        <v>33</v>
      </c>
      <c r="K671" s="9" t="s">
        <v>33</v>
      </c>
      <c r="L671" s="15">
        <v>-0.5</v>
      </c>
      <c r="M671" s="14">
        <v>0.5</v>
      </c>
      <c r="V671" s="14" t="s">
        <v>197</v>
      </c>
      <c r="W671" s="14">
        <v>1</v>
      </c>
      <c r="AD671" s="14">
        <v>0</v>
      </c>
      <c r="AE671" s="14">
        <v>1</v>
      </c>
      <c r="AG671" s="14" t="s">
        <v>198</v>
      </c>
    </row>
    <row r="672" spans="1:34" s="14" customFormat="1" x14ac:dyDescent="0.25">
      <c r="A672" s="10" t="s">
        <v>835</v>
      </c>
      <c r="B672" s="10"/>
      <c r="C672" s="10">
        <v>1</v>
      </c>
      <c r="D672" s="11">
        <v>42172</v>
      </c>
      <c r="E672" s="12">
        <v>43476</v>
      </c>
      <c r="F672" s="26" t="str">
        <f t="shared" si="20"/>
        <v>42 : 25</v>
      </c>
      <c r="G672" s="14">
        <f t="shared" si="21"/>
        <v>1304</v>
      </c>
      <c r="H672" s="9">
        <v>3</v>
      </c>
      <c r="I672" s="9">
        <v>11</v>
      </c>
      <c r="J672" s="9" t="s">
        <v>40</v>
      </c>
      <c r="K672" s="9" t="s">
        <v>40</v>
      </c>
      <c r="L672" s="15">
        <v>0.5</v>
      </c>
      <c r="M672" s="14">
        <v>0.5</v>
      </c>
      <c r="AD672" s="14">
        <v>0</v>
      </c>
      <c r="AE672" s="14">
        <v>0</v>
      </c>
      <c r="AG672" s="14" t="s">
        <v>138</v>
      </c>
    </row>
    <row r="673" spans="1:34" s="14" customFormat="1" x14ac:dyDescent="0.25">
      <c r="A673" s="10" t="s">
        <v>835</v>
      </c>
      <c r="B673" s="10"/>
      <c r="C673" s="10">
        <v>1</v>
      </c>
      <c r="D673" s="11">
        <v>42172</v>
      </c>
      <c r="E673" s="12">
        <v>43476</v>
      </c>
      <c r="F673" s="26" t="str">
        <f t="shared" si="20"/>
        <v>42 : 25</v>
      </c>
      <c r="G673" s="14">
        <f t="shared" si="21"/>
        <v>1304</v>
      </c>
      <c r="H673" s="9">
        <v>3</v>
      </c>
      <c r="I673" s="9">
        <v>12</v>
      </c>
      <c r="J673" s="9" t="s">
        <v>30</v>
      </c>
      <c r="K673" s="9" t="s">
        <v>39</v>
      </c>
      <c r="L673" s="15">
        <v>-0.5</v>
      </c>
      <c r="M673" s="14">
        <v>-0.5</v>
      </c>
      <c r="AD673" s="14">
        <v>0</v>
      </c>
      <c r="AE673" s="14">
        <v>1</v>
      </c>
      <c r="AG673" s="14" t="s">
        <v>669</v>
      </c>
    </row>
    <row r="674" spans="1:34" s="14" customFormat="1" x14ac:dyDescent="0.25">
      <c r="A674" s="10" t="s">
        <v>843</v>
      </c>
      <c r="B674" s="10"/>
      <c r="C674" s="10">
        <v>0</v>
      </c>
      <c r="D674" s="11">
        <v>42182</v>
      </c>
      <c r="E674" s="12">
        <v>43473</v>
      </c>
      <c r="F674" s="26" t="str">
        <f t="shared" si="20"/>
        <v>42 : 12</v>
      </c>
      <c r="G674" s="14">
        <f t="shared" si="21"/>
        <v>1291</v>
      </c>
      <c r="H674" s="22">
        <v>2</v>
      </c>
      <c r="I674" s="9" t="s">
        <v>97</v>
      </c>
      <c r="J674" s="9" t="s">
        <v>30</v>
      </c>
      <c r="K674" s="9" t="s">
        <v>30</v>
      </c>
      <c r="L674" s="20">
        <v>-0.5</v>
      </c>
      <c r="M674" s="14">
        <v>0.5</v>
      </c>
      <c r="AD674" s="14">
        <v>0</v>
      </c>
      <c r="AE674" s="14">
        <v>1</v>
      </c>
      <c r="AG674" s="14" t="s">
        <v>844</v>
      </c>
    </row>
    <row r="675" spans="1:34" s="14" customFormat="1" x14ac:dyDescent="0.25">
      <c r="A675" s="10" t="s">
        <v>843</v>
      </c>
      <c r="B675" s="10"/>
      <c r="C675" s="10">
        <v>0</v>
      </c>
      <c r="D675" s="11">
        <v>42182</v>
      </c>
      <c r="E675" s="12">
        <v>43473</v>
      </c>
      <c r="F675" s="26" t="str">
        <f t="shared" si="20"/>
        <v>42 : 12</v>
      </c>
      <c r="G675" s="14">
        <f t="shared" si="21"/>
        <v>1291</v>
      </c>
      <c r="H675" s="22">
        <v>2</v>
      </c>
      <c r="I675" s="9" t="s">
        <v>148</v>
      </c>
      <c r="J675" s="9" t="s">
        <v>33</v>
      </c>
      <c r="K675" s="9" t="s">
        <v>32</v>
      </c>
      <c r="L675" s="20">
        <v>-0.5</v>
      </c>
      <c r="M675" s="14">
        <v>-0.5</v>
      </c>
      <c r="AD675" s="14">
        <v>0</v>
      </c>
      <c r="AE675" s="14">
        <v>1</v>
      </c>
      <c r="AG675" s="14" t="s">
        <v>844</v>
      </c>
    </row>
    <row r="676" spans="1:34" s="14" customFormat="1" x14ac:dyDescent="0.25">
      <c r="A676" s="10" t="s">
        <v>843</v>
      </c>
      <c r="B676" s="10"/>
      <c r="C676" s="10">
        <v>0</v>
      </c>
      <c r="D676" s="11">
        <v>42182</v>
      </c>
      <c r="E676" s="12">
        <v>43473</v>
      </c>
      <c r="F676" s="26" t="str">
        <f t="shared" si="20"/>
        <v>42 : 12</v>
      </c>
      <c r="G676" s="14">
        <f t="shared" si="21"/>
        <v>1291</v>
      </c>
      <c r="H676" s="22">
        <v>2</v>
      </c>
      <c r="I676" s="9" t="s">
        <v>147</v>
      </c>
      <c r="J676" s="9" t="s">
        <v>35</v>
      </c>
      <c r="K676" s="9" t="s">
        <v>35</v>
      </c>
      <c r="L676" s="20">
        <v>0.5</v>
      </c>
      <c r="M676" s="14">
        <v>0.5</v>
      </c>
      <c r="AD676" s="14">
        <v>0</v>
      </c>
      <c r="AE676" s="14">
        <v>0</v>
      </c>
      <c r="AG676" s="14" t="s">
        <v>845</v>
      </c>
    </row>
    <row r="677" spans="1:34" s="14" customFormat="1" x14ac:dyDescent="0.25">
      <c r="A677" s="10" t="s">
        <v>843</v>
      </c>
      <c r="B677" s="10"/>
      <c r="C677" s="10">
        <v>0</v>
      </c>
      <c r="D677" s="11">
        <v>42182</v>
      </c>
      <c r="E677" s="12">
        <v>43473</v>
      </c>
      <c r="F677" s="26" t="str">
        <f t="shared" si="20"/>
        <v>42 : 12</v>
      </c>
      <c r="G677" s="14">
        <f t="shared" si="21"/>
        <v>1291</v>
      </c>
      <c r="H677" s="22">
        <v>2</v>
      </c>
      <c r="I677" s="9" t="s">
        <v>146</v>
      </c>
      <c r="J677" s="9" t="s">
        <v>32</v>
      </c>
      <c r="K677" s="9" t="s">
        <v>32</v>
      </c>
      <c r="L677" s="20">
        <v>0.5</v>
      </c>
      <c r="M677" s="14">
        <v>0.5</v>
      </c>
      <c r="AD677" s="14">
        <v>0</v>
      </c>
      <c r="AE677" s="14">
        <v>0</v>
      </c>
      <c r="AG677" s="14" t="s">
        <v>293</v>
      </c>
      <c r="AH677" s="14" t="s">
        <v>263</v>
      </c>
    </row>
    <row r="678" spans="1:34" s="14" customFormat="1" x14ac:dyDescent="0.25">
      <c r="A678" s="10" t="s">
        <v>843</v>
      </c>
      <c r="B678" s="10"/>
      <c r="C678" s="10">
        <v>0</v>
      </c>
      <c r="D678" s="11">
        <v>42182</v>
      </c>
      <c r="E678" s="12">
        <v>43473</v>
      </c>
      <c r="F678" s="26" t="str">
        <f t="shared" si="20"/>
        <v>42 : 12</v>
      </c>
      <c r="G678" s="14">
        <f t="shared" si="21"/>
        <v>1291</v>
      </c>
      <c r="H678" s="22">
        <v>2</v>
      </c>
      <c r="I678" s="9" t="s">
        <v>145</v>
      </c>
      <c r="J678" s="9" t="s">
        <v>35</v>
      </c>
      <c r="K678" s="9" t="s">
        <v>33</v>
      </c>
      <c r="L678" s="20">
        <v>-0.5</v>
      </c>
      <c r="M678" s="14">
        <v>-0.5</v>
      </c>
      <c r="S678" s="14">
        <v>0</v>
      </c>
      <c r="AD678" s="14">
        <v>0</v>
      </c>
      <c r="AE678" s="14">
        <v>1</v>
      </c>
      <c r="AF678" s="14" t="s">
        <v>846</v>
      </c>
      <c r="AG678" s="14" t="s">
        <v>847</v>
      </c>
    </row>
    <row r="679" spans="1:34" s="14" customFormat="1" x14ac:dyDescent="0.25">
      <c r="A679" s="10" t="s">
        <v>843</v>
      </c>
      <c r="B679" s="10"/>
      <c r="C679" s="10">
        <v>0</v>
      </c>
      <c r="D679" s="11">
        <v>42182</v>
      </c>
      <c r="E679" s="12">
        <v>43473</v>
      </c>
      <c r="F679" s="26" t="str">
        <f t="shared" si="20"/>
        <v>42 : 12</v>
      </c>
      <c r="G679" s="14">
        <f t="shared" si="21"/>
        <v>1291</v>
      </c>
      <c r="H679" s="22">
        <v>2</v>
      </c>
      <c r="I679" s="9" t="s">
        <v>143</v>
      </c>
      <c r="J679" s="9" t="s">
        <v>40</v>
      </c>
      <c r="K679" s="9" t="s">
        <v>39</v>
      </c>
      <c r="L679" s="20">
        <v>0.5</v>
      </c>
      <c r="M679" s="14">
        <v>-0.5</v>
      </c>
      <c r="AD679" s="14">
        <v>1</v>
      </c>
      <c r="AE679" s="14">
        <v>1</v>
      </c>
      <c r="AG679" s="14" t="s">
        <v>848</v>
      </c>
    </row>
    <row r="680" spans="1:34" s="14" customFormat="1" x14ac:dyDescent="0.25">
      <c r="A680" s="10" t="s">
        <v>843</v>
      </c>
      <c r="B680" s="10"/>
      <c r="C680" s="10">
        <v>0</v>
      </c>
      <c r="D680" s="11">
        <v>42182</v>
      </c>
      <c r="E680" s="12">
        <v>43473</v>
      </c>
      <c r="F680" s="26" t="str">
        <f t="shared" si="20"/>
        <v>42 : 12</v>
      </c>
      <c r="G680" s="14">
        <f t="shared" si="21"/>
        <v>1291</v>
      </c>
      <c r="H680" s="22">
        <v>2</v>
      </c>
      <c r="I680" s="9" t="s">
        <v>158</v>
      </c>
      <c r="J680" s="9" t="s">
        <v>39</v>
      </c>
      <c r="K680" s="9" t="s">
        <v>39</v>
      </c>
      <c r="L680" s="20">
        <v>-0.5</v>
      </c>
      <c r="M680" s="14">
        <v>0.5</v>
      </c>
      <c r="S680" s="14">
        <v>0</v>
      </c>
      <c r="Y680" s="14">
        <v>1</v>
      </c>
      <c r="AD680" s="14">
        <v>0</v>
      </c>
      <c r="AE680" s="14">
        <v>1</v>
      </c>
      <c r="AF680" s="14" t="s">
        <v>849</v>
      </c>
      <c r="AG680" s="14" t="s">
        <v>51</v>
      </c>
      <c r="AH680" s="14" t="s">
        <v>263</v>
      </c>
    </row>
    <row r="681" spans="1:34" s="14" customFormat="1" x14ac:dyDescent="0.25">
      <c r="A681" s="10" t="s">
        <v>843</v>
      </c>
      <c r="B681" s="10"/>
      <c r="C681" s="10">
        <v>0</v>
      </c>
      <c r="D681" s="11">
        <v>42182</v>
      </c>
      <c r="E681" s="12">
        <v>43473</v>
      </c>
      <c r="F681" s="26" t="str">
        <f t="shared" si="20"/>
        <v>42 : 12</v>
      </c>
      <c r="G681" s="14">
        <f t="shared" si="21"/>
        <v>1291</v>
      </c>
      <c r="H681" s="22">
        <v>2</v>
      </c>
      <c r="I681" s="9" t="s">
        <v>157</v>
      </c>
      <c r="J681" s="9" t="s">
        <v>32</v>
      </c>
      <c r="K681" s="9" t="s">
        <v>35</v>
      </c>
      <c r="L681" s="20">
        <v>-0.5</v>
      </c>
      <c r="M681" s="14">
        <v>-0.5</v>
      </c>
      <c r="AD681" s="14">
        <v>0</v>
      </c>
      <c r="AE681" s="14">
        <v>1</v>
      </c>
      <c r="AG681" s="14" t="s">
        <v>850</v>
      </c>
    </row>
    <row r="682" spans="1:34" s="14" customFormat="1" x14ac:dyDescent="0.25">
      <c r="A682" s="10" t="s">
        <v>843</v>
      </c>
      <c r="B682" s="10"/>
      <c r="C682" s="10">
        <v>0</v>
      </c>
      <c r="D682" s="11">
        <v>42182</v>
      </c>
      <c r="E682" s="12">
        <v>43473</v>
      </c>
      <c r="F682" s="26" t="str">
        <f t="shared" ref="F682:F745" si="22">DATEDIF(D682,E682,"M")&amp;" : "&amp;DATEDIF(D682,E682,"MD")</f>
        <v>42 : 12</v>
      </c>
      <c r="G682" s="14">
        <f t="shared" ref="G682:G745" si="23">DATEDIF(D682,E682,"D")</f>
        <v>1291</v>
      </c>
      <c r="H682" s="22">
        <v>2</v>
      </c>
      <c r="I682" s="9" t="s">
        <v>156</v>
      </c>
      <c r="J682" s="9" t="s">
        <v>30</v>
      </c>
      <c r="K682" s="9" t="s">
        <v>40</v>
      </c>
      <c r="L682" s="20">
        <v>0.5</v>
      </c>
      <c r="M682" s="14">
        <v>-0.5</v>
      </c>
      <c r="AD682" s="14">
        <v>0</v>
      </c>
      <c r="AE682" s="14">
        <v>0</v>
      </c>
      <c r="AG682" s="14" t="s">
        <v>53</v>
      </c>
      <c r="AH682" s="14" t="s">
        <v>851</v>
      </c>
    </row>
    <row r="683" spans="1:34" s="14" customFormat="1" x14ac:dyDescent="0.25">
      <c r="A683" s="10" t="s">
        <v>843</v>
      </c>
      <c r="B683" s="10"/>
      <c r="C683" s="10">
        <v>0</v>
      </c>
      <c r="D683" s="11">
        <v>42182</v>
      </c>
      <c r="E683" s="12">
        <v>43473</v>
      </c>
      <c r="F683" s="26" t="str">
        <f t="shared" si="22"/>
        <v>42 : 12</v>
      </c>
      <c r="G683" s="14">
        <f t="shared" si="23"/>
        <v>1291</v>
      </c>
      <c r="H683" s="22">
        <v>2</v>
      </c>
      <c r="I683" s="9" t="s">
        <v>155</v>
      </c>
      <c r="J683" s="9" t="s">
        <v>33</v>
      </c>
      <c r="K683" s="9" t="s">
        <v>33</v>
      </c>
      <c r="L683" s="20">
        <v>0.5</v>
      </c>
      <c r="M683" s="14">
        <v>0.5</v>
      </c>
      <c r="AD683" s="14">
        <v>0</v>
      </c>
      <c r="AE683" s="14">
        <v>0</v>
      </c>
      <c r="AG683" s="14" t="s">
        <v>305</v>
      </c>
    </row>
    <row r="684" spans="1:34" s="14" customFormat="1" x14ac:dyDescent="0.25">
      <c r="A684" s="10" t="s">
        <v>843</v>
      </c>
      <c r="B684" s="10"/>
      <c r="C684" s="10">
        <v>0</v>
      </c>
      <c r="D684" s="11">
        <v>42182</v>
      </c>
      <c r="E684" s="12">
        <v>43473</v>
      </c>
      <c r="F684" s="26" t="str">
        <f t="shared" si="22"/>
        <v>42 : 12</v>
      </c>
      <c r="G684" s="14">
        <f t="shared" si="23"/>
        <v>1291</v>
      </c>
      <c r="H684" s="22">
        <v>2</v>
      </c>
      <c r="I684" s="9" t="s">
        <v>154</v>
      </c>
      <c r="J684" s="9" t="s">
        <v>40</v>
      </c>
      <c r="K684" s="9" t="s">
        <v>40</v>
      </c>
      <c r="L684" s="20">
        <v>-0.5</v>
      </c>
      <c r="M684" s="14">
        <v>0.5</v>
      </c>
      <c r="AD684" s="14">
        <v>0</v>
      </c>
      <c r="AE684" s="14">
        <v>1</v>
      </c>
      <c r="AG684" s="14" t="s">
        <v>343</v>
      </c>
    </row>
    <row r="685" spans="1:34" s="14" customFormat="1" x14ac:dyDescent="0.25">
      <c r="A685" s="10" t="s">
        <v>843</v>
      </c>
      <c r="B685" s="10"/>
      <c r="C685" s="10">
        <v>0</v>
      </c>
      <c r="D685" s="11">
        <v>42182</v>
      </c>
      <c r="E685" s="12">
        <v>43473</v>
      </c>
      <c r="F685" s="26" t="str">
        <f t="shared" si="22"/>
        <v>42 : 12</v>
      </c>
      <c r="G685" s="14">
        <f t="shared" si="23"/>
        <v>1291</v>
      </c>
      <c r="H685" s="22">
        <v>2</v>
      </c>
      <c r="I685" s="9" t="s">
        <v>153</v>
      </c>
      <c r="J685" s="9" t="s">
        <v>39</v>
      </c>
      <c r="K685" s="9" t="s">
        <v>30</v>
      </c>
      <c r="L685" s="20">
        <v>0.5</v>
      </c>
      <c r="M685" s="14">
        <v>-0.5</v>
      </c>
      <c r="AD685" s="14">
        <v>0</v>
      </c>
      <c r="AE685" s="14">
        <v>0</v>
      </c>
      <c r="AG685" s="14" t="s">
        <v>313</v>
      </c>
    </row>
    <row r="686" spans="1:34" s="14" customFormat="1" x14ac:dyDescent="0.25">
      <c r="A686" s="10" t="s">
        <v>852</v>
      </c>
      <c r="B686" s="10"/>
      <c r="C686" s="10">
        <v>0</v>
      </c>
      <c r="D686" s="11">
        <v>42175</v>
      </c>
      <c r="E686" s="12">
        <v>43473</v>
      </c>
      <c r="F686" s="26" t="str">
        <f t="shared" si="22"/>
        <v>42 : 19</v>
      </c>
      <c r="G686" s="14">
        <f t="shared" si="23"/>
        <v>1298</v>
      </c>
      <c r="H686" s="9">
        <v>1</v>
      </c>
      <c r="I686" s="9">
        <v>1</v>
      </c>
      <c r="J686" s="9" t="s">
        <v>30</v>
      </c>
      <c r="K686" s="9" t="s">
        <v>30</v>
      </c>
      <c r="L686" s="15">
        <v>-0.5</v>
      </c>
      <c r="M686" s="14">
        <v>0.5</v>
      </c>
      <c r="Q686" s="14">
        <v>1</v>
      </c>
      <c r="V686" s="14" t="s">
        <v>441</v>
      </c>
      <c r="W686" s="14">
        <v>1</v>
      </c>
      <c r="AA686" s="14">
        <v>1</v>
      </c>
      <c r="AF686" s="14" t="s">
        <v>853</v>
      </c>
      <c r="AG686" s="14" t="s">
        <v>854</v>
      </c>
    </row>
    <row r="687" spans="1:34" s="14" customFormat="1" x14ac:dyDescent="0.25">
      <c r="A687" s="10" t="s">
        <v>852</v>
      </c>
      <c r="B687" s="10"/>
      <c r="C687" s="10">
        <v>0</v>
      </c>
      <c r="D687" s="11">
        <v>42175</v>
      </c>
      <c r="E687" s="12">
        <v>43473</v>
      </c>
      <c r="F687" s="26" t="str">
        <f t="shared" si="22"/>
        <v>42 : 19</v>
      </c>
      <c r="G687" s="14">
        <f t="shared" si="23"/>
        <v>1298</v>
      </c>
      <c r="H687" s="9">
        <v>1</v>
      </c>
      <c r="I687" s="9">
        <v>2</v>
      </c>
      <c r="J687" s="9" t="s">
        <v>32</v>
      </c>
      <c r="K687" s="9" t="s">
        <v>33</v>
      </c>
      <c r="L687" s="15">
        <v>-0.5</v>
      </c>
      <c r="M687" s="14">
        <v>-0.5</v>
      </c>
      <c r="R687" s="14">
        <v>1</v>
      </c>
      <c r="Z687" s="14">
        <v>1</v>
      </c>
      <c r="AA687" s="14">
        <v>1</v>
      </c>
      <c r="AF687" s="14" t="s">
        <v>855</v>
      </c>
      <c r="AG687" s="14" t="s">
        <v>856</v>
      </c>
    </row>
    <row r="688" spans="1:34" s="14" customFormat="1" x14ac:dyDescent="0.25">
      <c r="A688" s="10" t="s">
        <v>852</v>
      </c>
      <c r="B688" s="10"/>
      <c r="C688" s="10">
        <v>0</v>
      </c>
      <c r="D688" s="11">
        <v>42175</v>
      </c>
      <c r="E688" s="12">
        <v>43473</v>
      </c>
      <c r="F688" s="26" t="str">
        <f t="shared" si="22"/>
        <v>42 : 19</v>
      </c>
      <c r="G688" s="14">
        <f t="shared" si="23"/>
        <v>1298</v>
      </c>
      <c r="H688" s="9">
        <v>1</v>
      </c>
      <c r="I688" s="9">
        <v>3</v>
      </c>
      <c r="J688" s="9" t="s">
        <v>35</v>
      </c>
      <c r="K688" s="9" t="s">
        <v>35</v>
      </c>
      <c r="L688" s="15">
        <v>0.5</v>
      </c>
      <c r="M688" s="14">
        <v>0.5</v>
      </c>
      <c r="Z688" s="14">
        <v>1</v>
      </c>
      <c r="AA688" s="14">
        <v>1</v>
      </c>
      <c r="AF688" s="14" t="s">
        <v>857</v>
      </c>
      <c r="AG688" s="14" t="s">
        <v>168</v>
      </c>
    </row>
    <row r="689" spans="1:34" s="14" customFormat="1" x14ac:dyDescent="0.25">
      <c r="A689" s="10" t="s">
        <v>852</v>
      </c>
      <c r="B689" s="10"/>
      <c r="C689" s="10">
        <v>0</v>
      </c>
      <c r="D689" s="11">
        <v>42175</v>
      </c>
      <c r="E689" s="12">
        <v>43473</v>
      </c>
      <c r="F689" s="26" t="str">
        <f t="shared" si="22"/>
        <v>42 : 19</v>
      </c>
      <c r="G689" s="14">
        <f t="shared" si="23"/>
        <v>1298</v>
      </c>
      <c r="H689" s="9">
        <v>1</v>
      </c>
      <c r="I689" s="9">
        <v>4</v>
      </c>
      <c r="J689" s="9" t="s">
        <v>32</v>
      </c>
      <c r="K689" s="9" t="s">
        <v>32</v>
      </c>
      <c r="L689" s="15">
        <v>0.5</v>
      </c>
      <c r="M689" s="14">
        <v>0.5</v>
      </c>
      <c r="V689" s="14" t="s">
        <v>441</v>
      </c>
      <c r="W689" s="14">
        <v>1</v>
      </c>
      <c r="AA689" s="14">
        <v>1</v>
      </c>
      <c r="AF689" s="14" t="s">
        <v>858</v>
      </c>
      <c r="AG689" s="14" t="s">
        <v>859</v>
      </c>
    </row>
    <row r="690" spans="1:34" s="14" customFormat="1" x14ac:dyDescent="0.25">
      <c r="A690" s="10" t="s">
        <v>852</v>
      </c>
      <c r="B690" s="10"/>
      <c r="C690" s="10">
        <v>0</v>
      </c>
      <c r="D690" s="11">
        <v>42175</v>
      </c>
      <c r="E690" s="12">
        <v>43473</v>
      </c>
      <c r="F690" s="26" t="str">
        <f t="shared" si="22"/>
        <v>42 : 19</v>
      </c>
      <c r="G690" s="14">
        <f t="shared" si="23"/>
        <v>1298</v>
      </c>
      <c r="H690" s="9">
        <v>1</v>
      </c>
      <c r="I690" s="9">
        <v>5</v>
      </c>
      <c r="J690" s="9" t="s">
        <v>33</v>
      </c>
      <c r="K690" s="9" t="s">
        <v>35</v>
      </c>
      <c r="L690" s="15">
        <v>-0.5</v>
      </c>
      <c r="M690" s="14">
        <v>-0.5</v>
      </c>
      <c r="V690" s="14" t="s">
        <v>441</v>
      </c>
      <c r="W690" s="14">
        <v>1</v>
      </c>
      <c r="AA690" s="14">
        <v>1</v>
      </c>
      <c r="AF690" s="14" t="s">
        <v>860</v>
      </c>
      <c r="AG690" s="14" t="s">
        <v>861</v>
      </c>
    </row>
    <row r="691" spans="1:34" s="14" customFormat="1" x14ac:dyDescent="0.25">
      <c r="A691" s="10" t="s">
        <v>852</v>
      </c>
      <c r="B691" s="10"/>
      <c r="C691" s="10">
        <v>0</v>
      </c>
      <c r="D691" s="11">
        <v>42175</v>
      </c>
      <c r="E691" s="12">
        <v>43473</v>
      </c>
      <c r="F691" s="26" t="str">
        <f t="shared" si="22"/>
        <v>42 : 19</v>
      </c>
      <c r="G691" s="14">
        <f t="shared" si="23"/>
        <v>1298</v>
      </c>
      <c r="H691" s="9">
        <v>1</v>
      </c>
      <c r="I691" s="9">
        <v>6</v>
      </c>
      <c r="J691" s="9" t="s">
        <v>39</v>
      </c>
      <c r="K691" s="9" t="s">
        <v>40</v>
      </c>
      <c r="L691" s="15">
        <v>0.5</v>
      </c>
      <c r="M691" s="14">
        <v>-0.5</v>
      </c>
      <c r="Q691" s="14">
        <v>1</v>
      </c>
      <c r="Y691" s="14">
        <v>1</v>
      </c>
      <c r="AA691" s="14">
        <v>1</v>
      </c>
      <c r="AF691" s="14" t="s">
        <v>862</v>
      </c>
      <c r="AG691" s="14" t="s">
        <v>863</v>
      </c>
    </row>
    <row r="692" spans="1:34" s="14" customFormat="1" x14ac:dyDescent="0.25">
      <c r="A692" s="10" t="s">
        <v>852</v>
      </c>
      <c r="B692" s="10"/>
      <c r="C692" s="10">
        <v>0</v>
      </c>
      <c r="D692" s="11">
        <v>42175</v>
      </c>
      <c r="E692" s="12">
        <v>43473</v>
      </c>
      <c r="F692" s="26" t="str">
        <f t="shared" si="22"/>
        <v>42 : 19</v>
      </c>
      <c r="G692" s="14">
        <f t="shared" si="23"/>
        <v>1298</v>
      </c>
      <c r="H692" s="9">
        <v>1</v>
      </c>
      <c r="I692" s="9">
        <v>7</v>
      </c>
      <c r="J692" s="9" t="s">
        <v>39</v>
      </c>
      <c r="K692" s="9" t="s">
        <v>39</v>
      </c>
      <c r="L692" s="15">
        <v>-0.5</v>
      </c>
      <c r="M692" s="14">
        <v>0.5</v>
      </c>
      <c r="AD692" s="14">
        <v>0</v>
      </c>
      <c r="AE692" s="14">
        <v>1</v>
      </c>
      <c r="AG692" s="14" t="s">
        <v>67</v>
      </c>
    </row>
    <row r="693" spans="1:34" s="14" customFormat="1" x14ac:dyDescent="0.25">
      <c r="A693" s="10" t="s">
        <v>852</v>
      </c>
      <c r="B693" s="10"/>
      <c r="C693" s="10">
        <v>0</v>
      </c>
      <c r="D693" s="11">
        <v>42175</v>
      </c>
      <c r="E693" s="12">
        <v>43473</v>
      </c>
      <c r="F693" s="26" t="str">
        <f t="shared" si="22"/>
        <v>42 : 19</v>
      </c>
      <c r="G693" s="14">
        <f t="shared" si="23"/>
        <v>1298</v>
      </c>
      <c r="H693" s="9">
        <v>1</v>
      </c>
      <c r="I693" s="9">
        <v>8</v>
      </c>
      <c r="J693" s="9" t="s">
        <v>35</v>
      </c>
      <c r="K693" s="9" t="s">
        <v>32</v>
      </c>
      <c r="L693" s="15">
        <v>-0.5</v>
      </c>
      <c r="M693" s="14">
        <v>-0.5</v>
      </c>
      <c r="V693" s="14" t="s">
        <v>441</v>
      </c>
      <c r="W693" s="14">
        <v>1</v>
      </c>
      <c r="AA693" s="14">
        <v>1</v>
      </c>
      <c r="AF693" s="14" t="s">
        <v>864</v>
      </c>
      <c r="AG693" s="14" t="s">
        <v>865</v>
      </c>
    </row>
    <row r="694" spans="1:34" s="14" customFormat="1" x14ac:dyDescent="0.25">
      <c r="A694" s="10" t="s">
        <v>852</v>
      </c>
      <c r="B694" s="10"/>
      <c r="C694" s="10">
        <v>0</v>
      </c>
      <c r="D694" s="11">
        <v>42175</v>
      </c>
      <c r="E694" s="12">
        <v>43473</v>
      </c>
      <c r="F694" s="26" t="str">
        <f t="shared" si="22"/>
        <v>42 : 19</v>
      </c>
      <c r="G694" s="14">
        <f t="shared" si="23"/>
        <v>1298</v>
      </c>
      <c r="H694" s="9">
        <v>1</v>
      </c>
      <c r="I694" s="9">
        <v>9</v>
      </c>
      <c r="J694" s="9" t="s">
        <v>40</v>
      </c>
      <c r="K694" s="9" t="s">
        <v>30</v>
      </c>
      <c r="L694" s="15">
        <v>0.5</v>
      </c>
      <c r="M694" s="14">
        <v>-0.5</v>
      </c>
      <c r="V694" s="14" t="s">
        <v>866</v>
      </c>
      <c r="W694" s="14">
        <v>1</v>
      </c>
      <c r="AA694" s="14">
        <v>1</v>
      </c>
      <c r="AG694" s="14" t="s">
        <v>867</v>
      </c>
    </row>
    <row r="695" spans="1:34" s="14" customFormat="1" x14ac:dyDescent="0.25">
      <c r="A695" s="10" t="s">
        <v>852</v>
      </c>
      <c r="B695" s="10"/>
      <c r="C695" s="10">
        <v>0</v>
      </c>
      <c r="D695" s="11">
        <v>42175</v>
      </c>
      <c r="E695" s="12">
        <v>43473</v>
      </c>
      <c r="F695" s="26" t="str">
        <f t="shared" si="22"/>
        <v>42 : 19</v>
      </c>
      <c r="G695" s="14">
        <f t="shared" si="23"/>
        <v>1298</v>
      </c>
      <c r="H695" s="9">
        <v>1</v>
      </c>
      <c r="I695" s="9">
        <v>10</v>
      </c>
      <c r="J695" s="9" t="s">
        <v>33</v>
      </c>
      <c r="K695" s="9" t="s">
        <v>33</v>
      </c>
      <c r="L695" s="15">
        <v>0.5</v>
      </c>
      <c r="M695" s="14">
        <v>0.5</v>
      </c>
      <c r="AD695" s="14">
        <v>0</v>
      </c>
      <c r="AE695" s="14">
        <v>0</v>
      </c>
      <c r="AG695" s="14" t="s">
        <v>868</v>
      </c>
      <c r="AH695" s="14" t="s">
        <v>869</v>
      </c>
    </row>
    <row r="696" spans="1:34" s="14" customFormat="1" x14ac:dyDescent="0.25">
      <c r="A696" s="10" t="s">
        <v>852</v>
      </c>
      <c r="B696" s="10"/>
      <c r="C696" s="10">
        <v>0</v>
      </c>
      <c r="D696" s="11">
        <v>42175</v>
      </c>
      <c r="E696" s="12">
        <v>43473</v>
      </c>
      <c r="F696" s="26" t="str">
        <f t="shared" si="22"/>
        <v>42 : 19</v>
      </c>
      <c r="G696" s="14">
        <f t="shared" si="23"/>
        <v>1298</v>
      </c>
      <c r="H696" s="9">
        <v>1</v>
      </c>
      <c r="I696" s="9">
        <v>11</v>
      </c>
      <c r="J696" s="9" t="s">
        <v>40</v>
      </c>
      <c r="K696" s="9" t="s">
        <v>40</v>
      </c>
      <c r="L696" s="15">
        <v>-0.5</v>
      </c>
      <c r="M696" s="14">
        <v>0.5</v>
      </c>
      <c r="AD696" s="14">
        <v>0</v>
      </c>
      <c r="AE696" s="14">
        <v>1</v>
      </c>
      <c r="AG696" s="14" t="s">
        <v>138</v>
      </c>
    </row>
    <row r="697" spans="1:34" s="14" customFormat="1" x14ac:dyDescent="0.25">
      <c r="A697" s="10" t="s">
        <v>852</v>
      </c>
      <c r="B697" s="10"/>
      <c r="C697" s="10">
        <v>0</v>
      </c>
      <c r="D697" s="11">
        <v>42175</v>
      </c>
      <c r="E697" s="12">
        <v>43473</v>
      </c>
      <c r="F697" s="26" t="str">
        <f t="shared" si="22"/>
        <v>42 : 19</v>
      </c>
      <c r="G697" s="14">
        <f t="shared" si="23"/>
        <v>1298</v>
      </c>
      <c r="H697" s="9">
        <v>1</v>
      </c>
      <c r="I697" s="9">
        <v>12</v>
      </c>
      <c r="J697" s="9" t="s">
        <v>30</v>
      </c>
      <c r="K697" s="9" t="s">
        <v>39</v>
      </c>
      <c r="L697" s="15">
        <v>0.5</v>
      </c>
      <c r="M697" s="14">
        <v>-0.5</v>
      </c>
      <c r="S697" s="14">
        <v>0</v>
      </c>
      <c r="AD697" s="14">
        <v>0</v>
      </c>
      <c r="AE697" s="14">
        <v>0</v>
      </c>
      <c r="AF697" s="14" t="s">
        <v>870</v>
      </c>
      <c r="AG697" s="14" t="s">
        <v>871</v>
      </c>
      <c r="AH697" s="14" t="s">
        <v>872</v>
      </c>
    </row>
    <row r="698" spans="1:34" s="14" customFormat="1" x14ac:dyDescent="0.25">
      <c r="A698" s="10" t="s">
        <v>873</v>
      </c>
      <c r="B698" s="10"/>
      <c r="C698" s="10">
        <v>1</v>
      </c>
      <c r="D698" s="11">
        <v>42175</v>
      </c>
      <c r="E698" s="12">
        <v>43483</v>
      </c>
      <c r="F698" s="26" t="str">
        <f t="shared" si="22"/>
        <v>42 : 29</v>
      </c>
      <c r="G698" s="14">
        <f t="shared" si="23"/>
        <v>1308</v>
      </c>
      <c r="H698" s="22">
        <v>4</v>
      </c>
      <c r="I698" s="9" t="s">
        <v>97</v>
      </c>
      <c r="J698" s="9" t="s">
        <v>30</v>
      </c>
      <c r="K698" s="9" t="s">
        <v>30</v>
      </c>
      <c r="L698" s="20">
        <v>0.5</v>
      </c>
      <c r="M698" s="14">
        <v>0.5</v>
      </c>
      <c r="AD698" s="14">
        <v>0</v>
      </c>
      <c r="AE698" s="14">
        <v>0</v>
      </c>
      <c r="AG698" s="14" t="s">
        <v>373</v>
      </c>
      <c r="AH698" s="14" t="s">
        <v>263</v>
      </c>
    </row>
    <row r="699" spans="1:34" s="14" customFormat="1" x14ac:dyDescent="0.25">
      <c r="A699" s="10" t="s">
        <v>873</v>
      </c>
      <c r="B699" s="10"/>
      <c r="C699" s="10">
        <v>1</v>
      </c>
      <c r="D699" s="11">
        <v>42175</v>
      </c>
      <c r="E699" s="12">
        <v>43483</v>
      </c>
      <c r="F699" s="26" t="str">
        <f t="shared" si="22"/>
        <v>42 : 29</v>
      </c>
      <c r="G699" s="14">
        <f t="shared" si="23"/>
        <v>1308</v>
      </c>
      <c r="H699" s="22">
        <v>4</v>
      </c>
      <c r="I699" s="9" t="s">
        <v>99</v>
      </c>
      <c r="J699" s="9" t="s">
        <v>33</v>
      </c>
      <c r="K699" s="9" t="s">
        <v>32</v>
      </c>
      <c r="L699" s="20">
        <v>0.5</v>
      </c>
      <c r="M699" s="14">
        <v>-0.5</v>
      </c>
      <c r="Y699" s="14">
        <v>1</v>
      </c>
      <c r="Z699" s="14">
        <v>1</v>
      </c>
      <c r="AA699" s="14">
        <v>1</v>
      </c>
      <c r="AF699" s="14" t="s">
        <v>874</v>
      </c>
      <c r="AG699" s="14" t="s">
        <v>163</v>
      </c>
    </row>
    <row r="700" spans="1:34" s="14" customFormat="1" x14ac:dyDescent="0.25">
      <c r="A700" s="10" t="s">
        <v>873</v>
      </c>
      <c r="B700" s="10"/>
      <c r="C700" s="10">
        <v>1</v>
      </c>
      <c r="D700" s="11">
        <v>42175</v>
      </c>
      <c r="E700" s="12">
        <v>43483</v>
      </c>
      <c r="F700" s="26" t="str">
        <f t="shared" si="22"/>
        <v>42 : 29</v>
      </c>
      <c r="G700" s="14">
        <f t="shared" si="23"/>
        <v>1308</v>
      </c>
      <c r="H700" s="22">
        <v>4</v>
      </c>
      <c r="I700" s="9" t="s">
        <v>103</v>
      </c>
      <c r="J700" s="9" t="s">
        <v>35</v>
      </c>
      <c r="K700" s="9" t="s">
        <v>35</v>
      </c>
      <c r="L700" s="20">
        <v>-0.5</v>
      </c>
      <c r="M700" s="14">
        <v>0.5</v>
      </c>
      <c r="AD700" s="14">
        <v>0</v>
      </c>
      <c r="AE700" s="14">
        <v>1</v>
      </c>
      <c r="AG700" s="14" t="s">
        <v>875</v>
      </c>
    </row>
    <row r="701" spans="1:34" s="14" customFormat="1" x14ac:dyDescent="0.25">
      <c r="A701" s="10" t="s">
        <v>873</v>
      </c>
      <c r="B701" s="10"/>
      <c r="C701" s="10">
        <v>1</v>
      </c>
      <c r="D701" s="11">
        <v>42175</v>
      </c>
      <c r="E701" s="12">
        <v>43483</v>
      </c>
      <c r="F701" s="26" t="str">
        <f t="shared" si="22"/>
        <v>42 : 29</v>
      </c>
      <c r="G701" s="14">
        <f t="shared" si="23"/>
        <v>1308</v>
      </c>
      <c r="H701" s="22">
        <v>4</v>
      </c>
      <c r="I701" s="9" t="s">
        <v>104</v>
      </c>
      <c r="J701" s="9" t="s">
        <v>32</v>
      </c>
      <c r="K701" s="9" t="s">
        <v>32</v>
      </c>
      <c r="L701" s="20">
        <v>-0.5</v>
      </c>
      <c r="M701" s="14">
        <v>0.5</v>
      </c>
      <c r="V701" s="14" t="s">
        <v>441</v>
      </c>
      <c r="W701" s="14">
        <v>1</v>
      </c>
      <c r="AA701" s="14">
        <v>1</v>
      </c>
      <c r="AG701" s="14" t="s">
        <v>876</v>
      </c>
    </row>
    <row r="702" spans="1:34" s="14" customFormat="1" x14ac:dyDescent="0.25">
      <c r="A702" s="10" t="s">
        <v>873</v>
      </c>
      <c r="B702" s="10"/>
      <c r="C702" s="10">
        <v>1</v>
      </c>
      <c r="D702" s="11">
        <v>42175</v>
      </c>
      <c r="E702" s="12">
        <v>43483</v>
      </c>
      <c r="F702" s="26" t="str">
        <f t="shared" si="22"/>
        <v>42 : 29</v>
      </c>
      <c r="G702" s="14">
        <f t="shared" si="23"/>
        <v>1308</v>
      </c>
      <c r="H702" s="22">
        <v>4</v>
      </c>
      <c r="I702" s="9" t="s">
        <v>107</v>
      </c>
      <c r="J702" s="9" t="s">
        <v>35</v>
      </c>
      <c r="K702" s="9" t="s">
        <v>33</v>
      </c>
      <c r="L702" s="20">
        <v>0.5</v>
      </c>
      <c r="M702" s="14">
        <v>-0.5</v>
      </c>
      <c r="AD702" s="14">
        <v>0</v>
      </c>
      <c r="AE702" s="14">
        <v>0</v>
      </c>
      <c r="AG702" s="14" t="s">
        <v>641</v>
      </c>
    </row>
    <row r="703" spans="1:34" s="14" customFormat="1" x14ac:dyDescent="0.25">
      <c r="A703" s="10" t="s">
        <v>873</v>
      </c>
      <c r="B703" s="10"/>
      <c r="C703" s="10">
        <v>1</v>
      </c>
      <c r="D703" s="11">
        <v>42175</v>
      </c>
      <c r="E703" s="12">
        <v>43483</v>
      </c>
      <c r="F703" s="26" t="str">
        <f t="shared" si="22"/>
        <v>42 : 29</v>
      </c>
      <c r="G703" s="14">
        <f t="shared" si="23"/>
        <v>1308</v>
      </c>
      <c r="H703" s="22">
        <v>4</v>
      </c>
      <c r="I703" s="9" t="s">
        <v>110</v>
      </c>
      <c r="J703" s="9" t="s">
        <v>40</v>
      </c>
      <c r="K703" s="9" t="s">
        <v>39</v>
      </c>
      <c r="L703" s="20">
        <v>-0.5</v>
      </c>
      <c r="M703" s="14">
        <v>-0.5</v>
      </c>
      <c r="X703" s="14">
        <v>0</v>
      </c>
      <c r="AA703" s="14">
        <v>1</v>
      </c>
      <c r="AG703" s="14" t="s">
        <v>877</v>
      </c>
    </row>
    <row r="704" spans="1:34" s="14" customFormat="1" x14ac:dyDescent="0.25">
      <c r="A704" s="10" t="s">
        <v>873</v>
      </c>
      <c r="B704" s="10"/>
      <c r="C704" s="10">
        <v>1</v>
      </c>
      <c r="D704" s="11">
        <v>42175</v>
      </c>
      <c r="E704" s="12">
        <v>43483</v>
      </c>
      <c r="F704" s="26" t="str">
        <f t="shared" si="22"/>
        <v>42 : 29</v>
      </c>
      <c r="G704" s="14">
        <f t="shared" si="23"/>
        <v>1308</v>
      </c>
      <c r="H704" s="22">
        <v>4</v>
      </c>
      <c r="I704" s="9" t="s">
        <v>113</v>
      </c>
      <c r="J704" s="9" t="s">
        <v>39</v>
      </c>
      <c r="K704" s="9" t="s">
        <v>39</v>
      </c>
      <c r="L704" s="20">
        <v>0.5</v>
      </c>
      <c r="M704" s="14">
        <v>0.5</v>
      </c>
      <c r="AD704" s="14">
        <v>0</v>
      </c>
      <c r="AE704" s="14">
        <v>0</v>
      </c>
      <c r="AF704" s="14" t="s">
        <v>878</v>
      </c>
      <c r="AG704" s="14" t="s">
        <v>879</v>
      </c>
    </row>
    <row r="705" spans="1:34" s="14" customFormat="1" x14ac:dyDescent="0.25">
      <c r="A705" s="10" t="s">
        <v>873</v>
      </c>
      <c r="B705" s="10"/>
      <c r="C705" s="10">
        <v>1</v>
      </c>
      <c r="D705" s="11">
        <v>42175</v>
      </c>
      <c r="E705" s="12">
        <v>43483</v>
      </c>
      <c r="F705" s="26" t="str">
        <f t="shared" si="22"/>
        <v>42 : 29</v>
      </c>
      <c r="G705" s="14">
        <f t="shared" si="23"/>
        <v>1308</v>
      </c>
      <c r="H705" s="22">
        <v>4</v>
      </c>
      <c r="I705" s="9" t="s">
        <v>115</v>
      </c>
      <c r="J705" s="9" t="s">
        <v>32</v>
      </c>
      <c r="K705" s="9" t="s">
        <v>35</v>
      </c>
      <c r="L705" s="20">
        <v>0.5</v>
      </c>
      <c r="M705" s="14">
        <v>-0.5</v>
      </c>
      <c r="AD705" s="14">
        <v>0</v>
      </c>
      <c r="AE705" s="14">
        <v>0</v>
      </c>
      <c r="AG705" s="14" t="s">
        <v>880</v>
      </c>
    </row>
    <row r="706" spans="1:34" s="14" customFormat="1" x14ac:dyDescent="0.25">
      <c r="A706" s="10" t="s">
        <v>873</v>
      </c>
      <c r="B706" s="10"/>
      <c r="C706" s="10">
        <v>1</v>
      </c>
      <c r="D706" s="11">
        <v>42175</v>
      </c>
      <c r="E706" s="12">
        <v>43483</v>
      </c>
      <c r="F706" s="26" t="str">
        <f t="shared" si="22"/>
        <v>42 : 29</v>
      </c>
      <c r="G706" s="14">
        <f t="shared" si="23"/>
        <v>1308</v>
      </c>
      <c r="H706" s="22">
        <v>4</v>
      </c>
      <c r="I706" s="9" t="s">
        <v>117</v>
      </c>
      <c r="J706" s="9" t="s">
        <v>30</v>
      </c>
      <c r="K706" s="9" t="s">
        <v>40</v>
      </c>
      <c r="L706" s="20">
        <v>-0.5</v>
      </c>
      <c r="M706" s="14">
        <v>-0.5</v>
      </c>
      <c r="AD706" s="14">
        <v>0</v>
      </c>
      <c r="AE706" s="14">
        <v>1</v>
      </c>
      <c r="AG706" s="14" t="s">
        <v>31</v>
      </c>
    </row>
    <row r="707" spans="1:34" s="14" customFormat="1" x14ac:dyDescent="0.25">
      <c r="A707" s="10" t="s">
        <v>873</v>
      </c>
      <c r="B707" s="10"/>
      <c r="C707" s="10">
        <v>1</v>
      </c>
      <c r="D707" s="11">
        <v>42175</v>
      </c>
      <c r="E707" s="12">
        <v>43483</v>
      </c>
      <c r="F707" s="26" t="str">
        <f t="shared" si="22"/>
        <v>42 : 29</v>
      </c>
      <c r="G707" s="14">
        <f t="shared" si="23"/>
        <v>1308</v>
      </c>
      <c r="H707" s="22">
        <v>4</v>
      </c>
      <c r="I707" s="9" t="s">
        <v>121</v>
      </c>
      <c r="J707" s="9" t="s">
        <v>33</v>
      </c>
      <c r="K707" s="9" t="s">
        <v>33</v>
      </c>
      <c r="L707" s="20">
        <v>-0.5</v>
      </c>
      <c r="M707" s="14">
        <v>0.5</v>
      </c>
      <c r="AD707" s="14">
        <v>0</v>
      </c>
      <c r="AE707" s="14">
        <v>1</v>
      </c>
      <c r="AG707" s="14" t="s">
        <v>515</v>
      </c>
    </row>
    <row r="708" spans="1:34" s="14" customFormat="1" x14ac:dyDescent="0.25">
      <c r="A708" s="10" t="s">
        <v>873</v>
      </c>
      <c r="B708" s="10"/>
      <c r="C708" s="10">
        <v>1</v>
      </c>
      <c r="D708" s="11">
        <v>42175</v>
      </c>
      <c r="E708" s="12">
        <v>43483</v>
      </c>
      <c r="F708" s="26" t="str">
        <f t="shared" si="22"/>
        <v>42 : 29</v>
      </c>
      <c r="G708" s="14">
        <f t="shared" si="23"/>
        <v>1308</v>
      </c>
      <c r="H708" s="22">
        <v>4</v>
      </c>
      <c r="I708" s="9" t="s">
        <v>124</v>
      </c>
      <c r="J708" s="9" t="s">
        <v>40</v>
      </c>
      <c r="K708" s="9" t="s">
        <v>40</v>
      </c>
      <c r="L708" s="20">
        <v>0.5</v>
      </c>
      <c r="M708" s="14">
        <v>0.5</v>
      </c>
      <c r="AD708" s="14">
        <v>0</v>
      </c>
      <c r="AE708" s="14">
        <v>0</v>
      </c>
      <c r="AG708" s="14" t="s">
        <v>84</v>
      </c>
    </row>
    <row r="709" spans="1:34" s="14" customFormat="1" x14ac:dyDescent="0.25">
      <c r="A709" s="10" t="s">
        <v>873</v>
      </c>
      <c r="B709" s="10"/>
      <c r="C709" s="10">
        <v>1</v>
      </c>
      <c r="D709" s="11">
        <v>42175</v>
      </c>
      <c r="E709" s="12">
        <v>43483</v>
      </c>
      <c r="F709" s="26" t="str">
        <f t="shared" si="22"/>
        <v>42 : 29</v>
      </c>
      <c r="G709" s="14">
        <f t="shared" si="23"/>
        <v>1308</v>
      </c>
      <c r="H709" s="22">
        <v>4</v>
      </c>
      <c r="I709" s="9" t="s">
        <v>127</v>
      </c>
      <c r="J709" s="9" t="s">
        <v>39</v>
      </c>
      <c r="K709" s="9" t="s">
        <v>30</v>
      </c>
      <c r="L709" s="20">
        <v>-0.5</v>
      </c>
      <c r="M709" s="14">
        <v>-0.5</v>
      </c>
      <c r="AD709" s="14">
        <v>0</v>
      </c>
      <c r="AE709" s="14">
        <v>1</v>
      </c>
      <c r="AG709" s="14" t="s">
        <v>42</v>
      </c>
    </row>
    <row r="710" spans="1:34" s="14" customFormat="1" x14ac:dyDescent="0.25">
      <c r="A710" s="10" t="s">
        <v>881</v>
      </c>
      <c r="B710" s="10"/>
      <c r="C710" s="10">
        <v>0</v>
      </c>
      <c r="D710" s="11">
        <v>42193</v>
      </c>
      <c r="E710" s="12">
        <v>43488</v>
      </c>
      <c r="F710" s="26" t="str">
        <f t="shared" si="22"/>
        <v>42 : 15</v>
      </c>
      <c r="G710" s="14">
        <f t="shared" si="23"/>
        <v>1295</v>
      </c>
      <c r="H710" s="9">
        <v>7</v>
      </c>
      <c r="I710" s="9">
        <v>6</v>
      </c>
      <c r="J710" s="9" t="s">
        <v>39</v>
      </c>
      <c r="K710" s="9" t="s">
        <v>40</v>
      </c>
      <c r="L710" s="20">
        <v>-0.5</v>
      </c>
      <c r="M710" s="14">
        <v>-0.5</v>
      </c>
      <c r="Q710" s="14">
        <v>1</v>
      </c>
      <c r="AD710" s="14">
        <v>0</v>
      </c>
      <c r="AE710" s="14">
        <v>1</v>
      </c>
      <c r="AF710" s="14" t="s">
        <v>882</v>
      </c>
      <c r="AG710" s="14" t="s">
        <v>41</v>
      </c>
    </row>
    <row r="711" spans="1:34" s="14" customFormat="1" x14ac:dyDescent="0.25">
      <c r="A711" s="10" t="s">
        <v>881</v>
      </c>
      <c r="B711" s="10"/>
      <c r="C711" s="10">
        <v>0</v>
      </c>
      <c r="D711" s="11">
        <v>42193</v>
      </c>
      <c r="E711" s="12">
        <v>43488</v>
      </c>
      <c r="F711" s="26" t="str">
        <f t="shared" si="22"/>
        <v>42 : 15</v>
      </c>
      <c r="G711" s="14">
        <f t="shared" si="23"/>
        <v>1295</v>
      </c>
      <c r="H711" s="9">
        <v>7</v>
      </c>
      <c r="I711" s="9">
        <v>5</v>
      </c>
      <c r="J711" s="9" t="s">
        <v>33</v>
      </c>
      <c r="K711" s="9" t="s">
        <v>35</v>
      </c>
      <c r="L711" s="20">
        <v>0.5</v>
      </c>
      <c r="M711" s="14">
        <v>-0.5</v>
      </c>
      <c r="S711" s="14">
        <v>0</v>
      </c>
      <c r="Y711" s="14">
        <v>1</v>
      </c>
      <c r="Z711" s="14">
        <v>1</v>
      </c>
      <c r="AA711" s="14">
        <v>1</v>
      </c>
      <c r="AF711" s="14" t="s">
        <v>883</v>
      </c>
      <c r="AG711" s="14" t="s">
        <v>163</v>
      </c>
    </row>
    <row r="712" spans="1:34" s="14" customFormat="1" x14ac:dyDescent="0.25">
      <c r="A712" s="10" t="s">
        <v>881</v>
      </c>
      <c r="B712" s="10"/>
      <c r="C712" s="10">
        <v>0</v>
      </c>
      <c r="D712" s="11">
        <v>42193</v>
      </c>
      <c r="E712" s="12">
        <v>43488</v>
      </c>
      <c r="F712" s="26" t="str">
        <f t="shared" si="22"/>
        <v>42 : 15</v>
      </c>
      <c r="G712" s="14">
        <f t="shared" si="23"/>
        <v>1295</v>
      </c>
      <c r="H712" s="9">
        <v>7</v>
      </c>
      <c r="I712" s="9">
        <v>4</v>
      </c>
      <c r="J712" s="9" t="s">
        <v>32</v>
      </c>
      <c r="K712" s="9" t="s">
        <v>32</v>
      </c>
      <c r="L712" s="20">
        <v>-0.5</v>
      </c>
      <c r="M712" s="14">
        <v>0.5</v>
      </c>
      <c r="AD712" s="14">
        <v>0</v>
      </c>
      <c r="AE712" s="14">
        <v>1</v>
      </c>
      <c r="AG712" s="14" t="s">
        <v>612</v>
      </c>
    </row>
    <row r="713" spans="1:34" s="14" customFormat="1" x14ac:dyDescent="0.25">
      <c r="A713" s="10" t="s">
        <v>881</v>
      </c>
      <c r="B713" s="10"/>
      <c r="C713" s="10">
        <v>0</v>
      </c>
      <c r="D713" s="11">
        <v>42193</v>
      </c>
      <c r="E713" s="12">
        <v>43488</v>
      </c>
      <c r="F713" s="26" t="str">
        <f t="shared" si="22"/>
        <v>42 : 15</v>
      </c>
      <c r="G713" s="14">
        <f t="shared" si="23"/>
        <v>1295</v>
      </c>
      <c r="H713" s="9">
        <v>7</v>
      </c>
      <c r="I713" s="9">
        <v>3</v>
      </c>
      <c r="J713" s="9" t="s">
        <v>35</v>
      </c>
      <c r="K713" s="9" t="s">
        <v>35</v>
      </c>
      <c r="L713" s="20">
        <v>-0.5</v>
      </c>
      <c r="M713" s="14">
        <v>0.5</v>
      </c>
      <c r="AD713" s="14">
        <v>0</v>
      </c>
      <c r="AE713" s="14">
        <v>1</v>
      </c>
      <c r="AG713" s="14" t="s">
        <v>36</v>
      </c>
    </row>
    <row r="714" spans="1:34" s="14" customFormat="1" x14ac:dyDescent="0.25">
      <c r="A714" s="10" t="s">
        <v>881</v>
      </c>
      <c r="B714" s="10"/>
      <c r="C714" s="10">
        <v>0</v>
      </c>
      <c r="D714" s="11">
        <v>42193</v>
      </c>
      <c r="E714" s="12">
        <v>43488</v>
      </c>
      <c r="F714" s="26" t="str">
        <f t="shared" si="22"/>
        <v>42 : 15</v>
      </c>
      <c r="G714" s="14">
        <f t="shared" si="23"/>
        <v>1295</v>
      </c>
      <c r="H714" s="9">
        <v>7</v>
      </c>
      <c r="I714" s="9">
        <v>2</v>
      </c>
      <c r="J714" s="9" t="s">
        <v>32</v>
      </c>
      <c r="K714" s="9" t="s">
        <v>33</v>
      </c>
      <c r="L714" s="20">
        <v>0.5</v>
      </c>
      <c r="M714" s="14">
        <v>-0.5</v>
      </c>
      <c r="AD714" s="14">
        <v>0</v>
      </c>
      <c r="AE714" s="14">
        <v>0</v>
      </c>
      <c r="AG714" s="14" t="s">
        <v>884</v>
      </c>
    </row>
    <row r="715" spans="1:34" s="14" customFormat="1" x14ac:dyDescent="0.25">
      <c r="A715" s="10" t="s">
        <v>881</v>
      </c>
      <c r="B715" s="10"/>
      <c r="C715" s="10">
        <v>0</v>
      </c>
      <c r="D715" s="11">
        <v>42193</v>
      </c>
      <c r="E715" s="12">
        <v>43488</v>
      </c>
      <c r="F715" s="26" t="str">
        <f t="shared" si="22"/>
        <v>42 : 15</v>
      </c>
      <c r="G715" s="14">
        <f t="shared" si="23"/>
        <v>1295</v>
      </c>
      <c r="H715" s="9">
        <v>7</v>
      </c>
      <c r="I715" s="9">
        <v>1</v>
      </c>
      <c r="J715" s="9" t="s">
        <v>30</v>
      </c>
      <c r="K715" s="9" t="s">
        <v>30</v>
      </c>
      <c r="L715" s="20">
        <v>0.5</v>
      </c>
      <c r="M715" s="14">
        <v>0.5</v>
      </c>
      <c r="AD715" s="14">
        <v>0</v>
      </c>
      <c r="AE715" s="14">
        <v>0</v>
      </c>
      <c r="AG715" s="14" t="s">
        <v>31</v>
      </c>
    </row>
    <row r="716" spans="1:34" s="14" customFormat="1" x14ac:dyDescent="0.25">
      <c r="A716" s="10" t="s">
        <v>881</v>
      </c>
      <c r="B716" s="10"/>
      <c r="C716" s="10">
        <v>0</v>
      </c>
      <c r="D716" s="11">
        <v>42193</v>
      </c>
      <c r="E716" s="12">
        <v>43488</v>
      </c>
      <c r="F716" s="26" t="str">
        <f t="shared" si="22"/>
        <v>42 : 15</v>
      </c>
      <c r="G716" s="14">
        <f t="shared" si="23"/>
        <v>1295</v>
      </c>
      <c r="H716" s="9">
        <v>7</v>
      </c>
      <c r="I716" s="9">
        <v>12</v>
      </c>
      <c r="J716" s="9" t="s">
        <v>30</v>
      </c>
      <c r="K716" s="9" t="s">
        <v>39</v>
      </c>
      <c r="L716" s="20">
        <v>-0.5</v>
      </c>
      <c r="M716" s="14">
        <v>-0.5</v>
      </c>
      <c r="AD716" s="14">
        <v>0</v>
      </c>
      <c r="AE716" s="14">
        <v>1</v>
      </c>
      <c r="AG716" s="14" t="s">
        <v>47</v>
      </c>
    </row>
    <row r="717" spans="1:34" s="14" customFormat="1" x14ac:dyDescent="0.25">
      <c r="A717" s="10" t="s">
        <v>881</v>
      </c>
      <c r="B717" s="10"/>
      <c r="C717" s="10">
        <v>0</v>
      </c>
      <c r="D717" s="11">
        <v>42193</v>
      </c>
      <c r="E717" s="12">
        <v>43488</v>
      </c>
      <c r="F717" s="26" t="str">
        <f t="shared" si="22"/>
        <v>42 : 15</v>
      </c>
      <c r="G717" s="14">
        <f t="shared" si="23"/>
        <v>1295</v>
      </c>
      <c r="H717" s="9">
        <v>7</v>
      </c>
      <c r="I717" s="9">
        <v>11</v>
      </c>
      <c r="J717" s="9" t="s">
        <v>40</v>
      </c>
      <c r="K717" s="9" t="s">
        <v>40</v>
      </c>
      <c r="L717" s="20">
        <v>0.5</v>
      </c>
      <c r="M717" s="14">
        <v>0.5</v>
      </c>
      <c r="AD717" s="14">
        <v>0</v>
      </c>
      <c r="AE717" s="14">
        <v>0</v>
      </c>
      <c r="AG717" s="14" t="s">
        <v>885</v>
      </c>
    </row>
    <row r="718" spans="1:34" s="14" customFormat="1" x14ac:dyDescent="0.25">
      <c r="A718" s="10" t="s">
        <v>881</v>
      </c>
      <c r="B718" s="10"/>
      <c r="C718" s="10">
        <v>0</v>
      </c>
      <c r="D718" s="11">
        <v>42193</v>
      </c>
      <c r="E718" s="12">
        <v>43488</v>
      </c>
      <c r="F718" s="26" t="str">
        <f t="shared" si="22"/>
        <v>42 : 15</v>
      </c>
      <c r="G718" s="14">
        <f t="shared" si="23"/>
        <v>1295</v>
      </c>
      <c r="H718" s="9">
        <v>7</v>
      </c>
      <c r="I718" s="9">
        <v>10</v>
      </c>
      <c r="J718" s="9" t="s">
        <v>33</v>
      </c>
      <c r="K718" s="9" t="s">
        <v>33</v>
      </c>
      <c r="L718" s="20">
        <v>-0.5</v>
      </c>
      <c r="M718" s="14">
        <v>0.5</v>
      </c>
      <c r="AD718" s="14">
        <v>0</v>
      </c>
      <c r="AE718" s="14">
        <v>1</v>
      </c>
      <c r="AG718" s="14" t="s">
        <v>45</v>
      </c>
    </row>
    <row r="719" spans="1:34" s="14" customFormat="1" x14ac:dyDescent="0.25">
      <c r="A719" s="10" t="s">
        <v>881</v>
      </c>
      <c r="B719" s="10"/>
      <c r="C719" s="10">
        <v>0</v>
      </c>
      <c r="D719" s="11">
        <v>42193</v>
      </c>
      <c r="E719" s="12">
        <v>43488</v>
      </c>
      <c r="F719" s="26" t="str">
        <f t="shared" si="22"/>
        <v>42 : 15</v>
      </c>
      <c r="G719" s="14">
        <f t="shared" si="23"/>
        <v>1295</v>
      </c>
      <c r="H719" s="9">
        <v>7</v>
      </c>
      <c r="I719" s="9">
        <v>9</v>
      </c>
      <c r="J719" s="9" t="s">
        <v>40</v>
      </c>
      <c r="K719" s="9" t="s">
        <v>30</v>
      </c>
      <c r="L719" s="20">
        <v>-0.5</v>
      </c>
      <c r="M719" s="14">
        <v>-0.5</v>
      </c>
      <c r="AD719" s="14">
        <v>0</v>
      </c>
      <c r="AE719" s="14">
        <v>1</v>
      </c>
      <c r="AG719" s="14" t="s">
        <v>886</v>
      </c>
      <c r="AH719" s="14" t="s">
        <v>887</v>
      </c>
    </row>
    <row r="720" spans="1:34" s="14" customFormat="1" x14ac:dyDescent="0.25">
      <c r="A720" s="10" t="s">
        <v>881</v>
      </c>
      <c r="B720" s="10"/>
      <c r="C720" s="10">
        <v>0</v>
      </c>
      <c r="D720" s="11">
        <v>42193</v>
      </c>
      <c r="E720" s="12">
        <v>43488</v>
      </c>
      <c r="F720" s="26" t="str">
        <f t="shared" si="22"/>
        <v>42 : 15</v>
      </c>
      <c r="G720" s="14">
        <f t="shared" si="23"/>
        <v>1295</v>
      </c>
      <c r="H720" s="9">
        <v>7</v>
      </c>
      <c r="I720" s="9">
        <v>8</v>
      </c>
      <c r="J720" s="9" t="s">
        <v>35</v>
      </c>
      <c r="K720" s="9" t="s">
        <v>32</v>
      </c>
      <c r="L720" s="20">
        <v>0.5</v>
      </c>
      <c r="M720" s="14">
        <v>-0.5</v>
      </c>
      <c r="T720" s="14">
        <v>1</v>
      </c>
      <c r="AD720" s="14">
        <v>0</v>
      </c>
      <c r="AE720" s="14">
        <v>0</v>
      </c>
      <c r="AG720" s="14" t="s">
        <v>34</v>
      </c>
    </row>
    <row r="721" spans="1:33" s="14" customFormat="1" x14ac:dyDescent="0.25">
      <c r="A721" s="10" t="s">
        <v>881</v>
      </c>
      <c r="B721" s="10"/>
      <c r="C721" s="10">
        <v>0</v>
      </c>
      <c r="D721" s="11">
        <v>42193</v>
      </c>
      <c r="E721" s="12">
        <v>43488</v>
      </c>
      <c r="F721" s="26" t="str">
        <f t="shared" si="22"/>
        <v>42 : 15</v>
      </c>
      <c r="G721" s="14">
        <f t="shared" si="23"/>
        <v>1295</v>
      </c>
      <c r="H721" s="9">
        <v>7</v>
      </c>
      <c r="I721" s="9">
        <v>7</v>
      </c>
      <c r="J721" s="9" t="s">
        <v>39</v>
      </c>
      <c r="K721" s="9" t="s">
        <v>39</v>
      </c>
      <c r="L721" s="20">
        <v>0.5</v>
      </c>
      <c r="M721" s="14">
        <v>0.5</v>
      </c>
      <c r="AD721" s="14">
        <v>0</v>
      </c>
      <c r="AE721" s="14">
        <v>0</v>
      </c>
      <c r="AG721" s="14" t="s">
        <v>42</v>
      </c>
    </row>
    <row r="722" spans="1:33" s="14" customFormat="1" x14ac:dyDescent="0.25">
      <c r="A722" s="10" t="s">
        <v>888</v>
      </c>
      <c r="B722" s="10"/>
      <c r="C722" s="10">
        <v>1</v>
      </c>
      <c r="D722" s="11">
        <v>42192</v>
      </c>
      <c r="E722" s="12">
        <v>43494</v>
      </c>
      <c r="F722" s="26" t="str">
        <f t="shared" si="22"/>
        <v>42 : 22</v>
      </c>
      <c r="G722" s="14">
        <f t="shared" si="23"/>
        <v>1302</v>
      </c>
      <c r="H722" s="9">
        <v>1</v>
      </c>
      <c r="I722" s="9">
        <v>1</v>
      </c>
      <c r="J722" s="9" t="s">
        <v>30</v>
      </c>
      <c r="K722" s="9" t="s">
        <v>30</v>
      </c>
      <c r="L722" s="15">
        <v>-0.5</v>
      </c>
      <c r="M722" s="14">
        <v>0.5</v>
      </c>
      <c r="V722" s="14" t="s">
        <v>261</v>
      </c>
      <c r="W722" s="14">
        <v>1</v>
      </c>
      <c r="Y722" s="14">
        <v>1</v>
      </c>
      <c r="AA722" s="14">
        <v>1</v>
      </c>
      <c r="AF722" s="14" t="s">
        <v>889</v>
      </c>
      <c r="AG722" s="14" t="s">
        <v>890</v>
      </c>
    </row>
    <row r="723" spans="1:33" s="14" customFormat="1" x14ac:dyDescent="0.25">
      <c r="A723" s="10" t="s">
        <v>888</v>
      </c>
      <c r="B723" s="10"/>
      <c r="C723" s="10">
        <v>1</v>
      </c>
      <c r="D723" s="11">
        <v>42192</v>
      </c>
      <c r="E723" s="12">
        <v>43494</v>
      </c>
      <c r="F723" s="26" t="str">
        <f t="shared" si="22"/>
        <v>42 : 22</v>
      </c>
      <c r="G723" s="14">
        <f t="shared" si="23"/>
        <v>1302</v>
      </c>
      <c r="H723" s="9">
        <v>1</v>
      </c>
      <c r="I723" s="9">
        <v>2</v>
      </c>
      <c r="J723" s="9" t="s">
        <v>32</v>
      </c>
      <c r="K723" s="9" t="s">
        <v>33</v>
      </c>
      <c r="L723" s="15">
        <v>-0.5</v>
      </c>
      <c r="M723" s="14">
        <v>-0.5</v>
      </c>
      <c r="Y723" s="14">
        <v>1</v>
      </c>
      <c r="AD723" s="14">
        <v>0</v>
      </c>
      <c r="AE723" s="14">
        <v>1</v>
      </c>
      <c r="AF723" s="14" t="s">
        <v>891</v>
      </c>
      <c r="AG723" s="14" t="s">
        <v>892</v>
      </c>
    </row>
    <row r="724" spans="1:33" s="14" customFormat="1" x14ac:dyDescent="0.25">
      <c r="A724" s="10" t="s">
        <v>888</v>
      </c>
      <c r="B724" s="10"/>
      <c r="C724" s="10">
        <v>1</v>
      </c>
      <c r="D724" s="11">
        <v>42192</v>
      </c>
      <c r="E724" s="12">
        <v>43494</v>
      </c>
      <c r="F724" s="26" t="str">
        <f t="shared" si="22"/>
        <v>42 : 22</v>
      </c>
      <c r="G724" s="14">
        <f t="shared" si="23"/>
        <v>1302</v>
      </c>
      <c r="H724" s="9">
        <v>1</v>
      </c>
      <c r="I724" s="9">
        <v>3</v>
      </c>
      <c r="J724" s="9" t="s">
        <v>35</v>
      </c>
      <c r="K724" s="9" t="s">
        <v>35</v>
      </c>
      <c r="L724" s="15">
        <v>0.5</v>
      </c>
      <c r="M724" s="14">
        <v>0.5</v>
      </c>
      <c r="Y724" s="14">
        <v>1</v>
      </c>
      <c r="AD724" s="14">
        <v>0</v>
      </c>
      <c r="AE724" s="14">
        <v>0</v>
      </c>
      <c r="AF724" s="14" t="s">
        <v>893</v>
      </c>
      <c r="AG724" s="14" t="s">
        <v>36</v>
      </c>
    </row>
    <row r="725" spans="1:33" s="14" customFormat="1" x14ac:dyDescent="0.25">
      <c r="A725" s="10" t="s">
        <v>888</v>
      </c>
      <c r="B725" s="10"/>
      <c r="C725" s="10">
        <v>1</v>
      </c>
      <c r="D725" s="11">
        <v>42192</v>
      </c>
      <c r="E725" s="12">
        <v>43494</v>
      </c>
      <c r="F725" s="26" t="str">
        <f t="shared" si="22"/>
        <v>42 : 22</v>
      </c>
      <c r="G725" s="14">
        <f t="shared" si="23"/>
        <v>1302</v>
      </c>
      <c r="H725" s="9">
        <v>1</v>
      </c>
      <c r="I725" s="9">
        <v>4</v>
      </c>
      <c r="J725" s="9" t="s">
        <v>32</v>
      </c>
      <c r="K725" s="9" t="s">
        <v>32</v>
      </c>
      <c r="L725" s="15">
        <v>0.5</v>
      </c>
      <c r="M725" s="14">
        <v>0.5</v>
      </c>
      <c r="V725" s="14" t="s">
        <v>261</v>
      </c>
      <c r="W725" s="14">
        <v>1</v>
      </c>
      <c r="Y725" s="14">
        <v>1</v>
      </c>
      <c r="AA725" s="14">
        <v>1</v>
      </c>
      <c r="AF725" s="14" t="s">
        <v>894</v>
      </c>
      <c r="AG725" s="14" t="s">
        <v>895</v>
      </c>
    </row>
    <row r="726" spans="1:33" s="14" customFormat="1" x14ac:dyDescent="0.25">
      <c r="A726" s="10" t="s">
        <v>888</v>
      </c>
      <c r="B726" s="10"/>
      <c r="C726" s="10">
        <v>1</v>
      </c>
      <c r="D726" s="11">
        <v>42192</v>
      </c>
      <c r="E726" s="12">
        <v>43494</v>
      </c>
      <c r="F726" s="26" t="str">
        <f t="shared" si="22"/>
        <v>42 : 22</v>
      </c>
      <c r="G726" s="14">
        <f t="shared" si="23"/>
        <v>1302</v>
      </c>
      <c r="H726" s="9">
        <v>1</v>
      </c>
      <c r="I726" s="9">
        <v>5</v>
      </c>
      <c r="J726" s="9" t="s">
        <v>33</v>
      </c>
      <c r="K726" s="9" t="s">
        <v>35</v>
      </c>
      <c r="L726" s="15">
        <v>-0.5</v>
      </c>
      <c r="M726" s="14">
        <v>-0.5</v>
      </c>
      <c r="Y726" s="14">
        <v>1</v>
      </c>
      <c r="AD726" s="14">
        <v>0</v>
      </c>
      <c r="AE726" s="14">
        <v>1</v>
      </c>
      <c r="AF726" s="14" t="s">
        <v>896</v>
      </c>
      <c r="AG726" s="14" t="s">
        <v>38</v>
      </c>
    </row>
    <row r="727" spans="1:33" s="14" customFormat="1" x14ac:dyDescent="0.25">
      <c r="A727" s="10" t="s">
        <v>888</v>
      </c>
      <c r="B727" s="10"/>
      <c r="C727" s="10">
        <v>1</v>
      </c>
      <c r="D727" s="11">
        <v>42192</v>
      </c>
      <c r="E727" s="12">
        <v>43494</v>
      </c>
      <c r="F727" s="26" t="str">
        <f t="shared" si="22"/>
        <v>42 : 22</v>
      </c>
      <c r="G727" s="14">
        <f t="shared" si="23"/>
        <v>1302</v>
      </c>
      <c r="H727" s="9">
        <v>1</v>
      </c>
      <c r="I727" s="9">
        <v>6</v>
      </c>
      <c r="J727" s="9" t="s">
        <v>39</v>
      </c>
      <c r="K727" s="9" t="s">
        <v>40</v>
      </c>
      <c r="L727" s="15">
        <v>0.5</v>
      </c>
      <c r="M727" s="14">
        <v>-0.5</v>
      </c>
      <c r="V727" s="14" t="s">
        <v>261</v>
      </c>
      <c r="W727" s="14">
        <v>1</v>
      </c>
      <c r="AA727" s="14">
        <v>1</v>
      </c>
      <c r="AF727" s="14" t="s">
        <v>897</v>
      </c>
      <c r="AG727" s="14" t="s">
        <v>897</v>
      </c>
    </row>
    <row r="728" spans="1:33" s="14" customFormat="1" x14ac:dyDescent="0.25">
      <c r="A728" s="10" t="s">
        <v>888</v>
      </c>
      <c r="B728" s="10"/>
      <c r="C728" s="10">
        <v>1</v>
      </c>
      <c r="D728" s="11">
        <v>42192</v>
      </c>
      <c r="E728" s="12">
        <v>43494</v>
      </c>
      <c r="F728" s="26" t="str">
        <f t="shared" si="22"/>
        <v>42 : 22</v>
      </c>
      <c r="G728" s="14">
        <f t="shared" si="23"/>
        <v>1302</v>
      </c>
      <c r="H728" s="9">
        <v>1</v>
      </c>
      <c r="I728" s="9">
        <v>7</v>
      </c>
      <c r="J728" s="9" t="s">
        <v>39</v>
      </c>
      <c r="K728" s="9" t="s">
        <v>39</v>
      </c>
      <c r="L728" s="15">
        <v>-0.5</v>
      </c>
      <c r="M728" s="14">
        <v>0.5</v>
      </c>
      <c r="Y728" s="14">
        <v>1</v>
      </c>
      <c r="AD728" s="14">
        <v>1</v>
      </c>
      <c r="AE728" s="14">
        <v>0</v>
      </c>
      <c r="AF728" s="14" t="s">
        <v>898</v>
      </c>
      <c r="AG728" s="14" t="s">
        <v>194</v>
      </c>
    </row>
    <row r="729" spans="1:33" s="14" customFormat="1" x14ac:dyDescent="0.25">
      <c r="A729" s="10" t="s">
        <v>888</v>
      </c>
      <c r="B729" s="10"/>
      <c r="C729" s="10">
        <v>1</v>
      </c>
      <c r="D729" s="11">
        <v>42192</v>
      </c>
      <c r="E729" s="12">
        <v>43494</v>
      </c>
      <c r="F729" s="26" t="str">
        <f t="shared" si="22"/>
        <v>42 : 22</v>
      </c>
      <c r="G729" s="14">
        <f t="shared" si="23"/>
        <v>1302</v>
      </c>
      <c r="H729" s="9">
        <v>1</v>
      </c>
      <c r="I729" s="9">
        <v>8</v>
      </c>
      <c r="J729" s="9" t="s">
        <v>35</v>
      </c>
      <c r="K729" s="9" t="s">
        <v>32</v>
      </c>
      <c r="L729" s="15">
        <v>-0.5</v>
      </c>
      <c r="M729" s="14">
        <v>-0.5</v>
      </c>
      <c r="Z729" s="14">
        <v>1</v>
      </c>
      <c r="AA729" s="14">
        <v>1</v>
      </c>
      <c r="AF729" s="14" t="s">
        <v>899</v>
      </c>
      <c r="AG729" s="14" t="s">
        <v>171</v>
      </c>
    </row>
    <row r="730" spans="1:33" s="14" customFormat="1" x14ac:dyDescent="0.25">
      <c r="A730" s="10" t="s">
        <v>888</v>
      </c>
      <c r="B730" s="10"/>
      <c r="C730" s="10">
        <v>1</v>
      </c>
      <c r="D730" s="11">
        <v>42192</v>
      </c>
      <c r="E730" s="12">
        <v>43494</v>
      </c>
      <c r="F730" s="26" t="str">
        <f t="shared" si="22"/>
        <v>42 : 22</v>
      </c>
      <c r="G730" s="14">
        <f t="shared" si="23"/>
        <v>1302</v>
      </c>
      <c r="H730" s="9">
        <v>1</v>
      </c>
      <c r="I730" s="9">
        <v>9</v>
      </c>
      <c r="J730" s="9" t="s">
        <v>40</v>
      </c>
      <c r="K730" s="9" t="s">
        <v>30</v>
      </c>
      <c r="L730" s="15">
        <v>0.5</v>
      </c>
      <c r="M730" s="14">
        <v>-0.5</v>
      </c>
      <c r="X730" s="14">
        <v>0</v>
      </c>
      <c r="AA730" s="14">
        <v>1</v>
      </c>
      <c r="AG730" s="14" t="s">
        <v>900</v>
      </c>
    </row>
    <row r="731" spans="1:33" s="14" customFormat="1" x14ac:dyDescent="0.25">
      <c r="A731" s="10" t="s">
        <v>888</v>
      </c>
      <c r="B731" s="10"/>
      <c r="C731" s="10">
        <v>1</v>
      </c>
      <c r="D731" s="11">
        <v>42192</v>
      </c>
      <c r="E731" s="12">
        <v>43494</v>
      </c>
      <c r="F731" s="26" t="str">
        <f t="shared" si="22"/>
        <v>42 : 22</v>
      </c>
      <c r="G731" s="14">
        <f t="shared" si="23"/>
        <v>1302</v>
      </c>
      <c r="H731" s="9">
        <v>1</v>
      </c>
      <c r="I731" s="9">
        <v>10</v>
      </c>
      <c r="J731" s="9" t="s">
        <v>33</v>
      </c>
      <c r="K731" s="9" t="s">
        <v>33</v>
      </c>
      <c r="L731" s="15">
        <v>0.5</v>
      </c>
      <c r="M731" s="14">
        <v>0.5</v>
      </c>
      <c r="S731" s="14">
        <v>0</v>
      </c>
      <c r="V731" s="14" t="s">
        <v>261</v>
      </c>
      <c r="W731" s="14">
        <v>1</v>
      </c>
      <c r="AA731" s="14">
        <v>1</v>
      </c>
      <c r="AF731" s="14" t="s">
        <v>901</v>
      </c>
      <c r="AG731" s="14" t="s">
        <v>902</v>
      </c>
    </row>
    <row r="732" spans="1:33" s="14" customFormat="1" x14ac:dyDescent="0.25">
      <c r="A732" s="10" t="s">
        <v>888</v>
      </c>
      <c r="B732" s="10"/>
      <c r="C732" s="10">
        <v>1</v>
      </c>
      <c r="D732" s="11">
        <v>42192</v>
      </c>
      <c r="E732" s="12">
        <v>43494</v>
      </c>
      <c r="F732" s="26" t="str">
        <f t="shared" si="22"/>
        <v>42 : 22</v>
      </c>
      <c r="G732" s="14">
        <f t="shared" si="23"/>
        <v>1302</v>
      </c>
      <c r="H732" s="9">
        <v>1</v>
      </c>
      <c r="I732" s="9">
        <v>11</v>
      </c>
      <c r="J732" s="9" t="s">
        <v>40</v>
      </c>
      <c r="K732" s="9" t="s">
        <v>40</v>
      </c>
      <c r="L732" s="15">
        <v>-0.5</v>
      </c>
      <c r="M732" s="14">
        <v>0.5</v>
      </c>
      <c r="AD732" s="14">
        <v>0</v>
      </c>
      <c r="AE732" s="14">
        <v>1</v>
      </c>
      <c r="AG732" s="14" t="s">
        <v>200</v>
      </c>
    </row>
    <row r="733" spans="1:33" s="14" customFormat="1" x14ac:dyDescent="0.25">
      <c r="A733" s="10" t="s">
        <v>888</v>
      </c>
      <c r="B733" s="10"/>
      <c r="C733" s="10">
        <v>1</v>
      </c>
      <c r="D733" s="11">
        <v>42192</v>
      </c>
      <c r="E733" s="12">
        <v>43494</v>
      </c>
      <c r="F733" s="26" t="str">
        <f t="shared" si="22"/>
        <v>42 : 22</v>
      </c>
      <c r="G733" s="14">
        <f t="shared" si="23"/>
        <v>1302</v>
      </c>
      <c r="H733" s="9">
        <v>1</v>
      </c>
      <c r="I733" s="9">
        <v>12</v>
      </c>
      <c r="J733" s="9" t="s">
        <v>30</v>
      </c>
      <c r="K733" s="9" t="s">
        <v>39</v>
      </c>
      <c r="L733" s="15">
        <v>0.5</v>
      </c>
      <c r="M733" s="14">
        <v>-0.5</v>
      </c>
      <c r="Y733" s="14">
        <v>1</v>
      </c>
      <c r="AD733" s="14">
        <v>0</v>
      </c>
      <c r="AE733" s="14">
        <v>0</v>
      </c>
      <c r="AF733" s="14" t="s">
        <v>903</v>
      </c>
      <c r="AG733" s="14" t="s">
        <v>904</v>
      </c>
    </row>
    <row r="734" spans="1:33" s="14" customFormat="1" x14ac:dyDescent="0.25">
      <c r="A734" s="10" t="s">
        <v>905</v>
      </c>
      <c r="B734" s="10"/>
      <c r="C734" s="10">
        <v>0</v>
      </c>
      <c r="D734" s="11">
        <v>42193</v>
      </c>
      <c r="E734" s="12">
        <v>43490</v>
      </c>
      <c r="F734" s="26" t="str">
        <f t="shared" si="22"/>
        <v>42 : 17</v>
      </c>
      <c r="G734" s="14">
        <f t="shared" si="23"/>
        <v>1297</v>
      </c>
      <c r="H734" s="9">
        <v>8</v>
      </c>
      <c r="I734" s="9" t="s">
        <v>143</v>
      </c>
      <c r="J734" s="9" t="s">
        <v>40</v>
      </c>
      <c r="K734" s="9" t="s">
        <v>39</v>
      </c>
      <c r="L734" s="20">
        <v>-0.5</v>
      </c>
      <c r="M734" s="14">
        <v>-0.5</v>
      </c>
      <c r="R734" s="14">
        <v>1</v>
      </c>
      <c r="S734" s="14">
        <v>0</v>
      </c>
      <c r="Y734" s="14">
        <v>1</v>
      </c>
      <c r="AD734" s="14">
        <v>0</v>
      </c>
      <c r="AE734" s="14">
        <v>1</v>
      </c>
      <c r="AF734" s="14" t="s">
        <v>906</v>
      </c>
      <c r="AG734" s="14" t="s">
        <v>907</v>
      </c>
    </row>
    <row r="735" spans="1:33" s="14" customFormat="1" x14ac:dyDescent="0.25">
      <c r="A735" s="10" t="s">
        <v>905</v>
      </c>
      <c r="B735" s="10"/>
      <c r="C735" s="10">
        <v>0</v>
      </c>
      <c r="D735" s="11">
        <v>42193</v>
      </c>
      <c r="E735" s="12">
        <v>43490</v>
      </c>
      <c r="F735" s="26" t="str">
        <f t="shared" si="22"/>
        <v>42 : 17</v>
      </c>
      <c r="G735" s="14">
        <f t="shared" si="23"/>
        <v>1297</v>
      </c>
      <c r="H735" s="9">
        <v>8</v>
      </c>
      <c r="I735" s="9" t="s">
        <v>145</v>
      </c>
      <c r="J735" s="9" t="s">
        <v>35</v>
      </c>
      <c r="K735" s="9" t="s">
        <v>33</v>
      </c>
      <c r="L735" s="20">
        <v>0.5</v>
      </c>
      <c r="M735" s="14">
        <v>-0.5</v>
      </c>
      <c r="AD735" s="14">
        <v>0</v>
      </c>
      <c r="AE735" s="14">
        <v>0</v>
      </c>
      <c r="AG735" s="14" t="s">
        <v>908</v>
      </c>
    </row>
    <row r="736" spans="1:33" s="14" customFormat="1" x14ac:dyDescent="0.25">
      <c r="A736" s="10" t="s">
        <v>905</v>
      </c>
      <c r="B736" s="10"/>
      <c r="C736" s="10">
        <v>0</v>
      </c>
      <c r="D736" s="11">
        <v>42193</v>
      </c>
      <c r="E736" s="12">
        <v>43490</v>
      </c>
      <c r="F736" s="26" t="str">
        <f t="shared" si="22"/>
        <v>42 : 17</v>
      </c>
      <c r="G736" s="14">
        <f t="shared" si="23"/>
        <v>1297</v>
      </c>
      <c r="H736" s="9">
        <v>8</v>
      </c>
      <c r="I736" s="9" t="s">
        <v>146</v>
      </c>
      <c r="J736" s="9" t="s">
        <v>32</v>
      </c>
      <c r="K736" s="9" t="s">
        <v>32</v>
      </c>
      <c r="L736" s="20">
        <v>-0.5</v>
      </c>
      <c r="M736" s="14">
        <v>0.5</v>
      </c>
      <c r="AD736" s="14">
        <v>1</v>
      </c>
      <c r="AE736" s="14">
        <v>0</v>
      </c>
      <c r="AG736" s="14" t="s">
        <v>909</v>
      </c>
    </row>
    <row r="737" spans="1:34" s="14" customFormat="1" x14ac:dyDescent="0.25">
      <c r="A737" s="10" t="s">
        <v>905</v>
      </c>
      <c r="B737" s="10"/>
      <c r="C737" s="10">
        <v>0</v>
      </c>
      <c r="D737" s="11">
        <v>42193</v>
      </c>
      <c r="E737" s="12">
        <v>43490</v>
      </c>
      <c r="F737" s="26" t="str">
        <f t="shared" si="22"/>
        <v>42 : 17</v>
      </c>
      <c r="G737" s="14">
        <f t="shared" si="23"/>
        <v>1297</v>
      </c>
      <c r="H737" s="9">
        <v>8</v>
      </c>
      <c r="I737" s="9" t="s">
        <v>147</v>
      </c>
      <c r="J737" s="9" t="s">
        <v>35</v>
      </c>
      <c r="K737" s="9" t="s">
        <v>35</v>
      </c>
      <c r="L737" s="20">
        <v>-0.5</v>
      </c>
      <c r="M737" s="14">
        <v>0.5</v>
      </c>
      <c r="AD737" s="14">
        <v>0</v>
      </c>
      <c r="AE737" s="14">
        <v>1</v>
      </c>
      <c r="AG737" s="14" t="s">
        <v>910</v>
      </c>
    </row>
    <row r="738" spans="1:34" s="14" customFormat="1" x14ac:dyDescent="0.25">
      <c r="A738" s="10" t="s">
        <v>905</v>
      </c>
      <c r="B738" s="10"/>
      <c r="C738" s="10">
        <v>0</v>
      </c>
      <c r="D738" s="11">
        <v>42193</v>
      </c>
      <c r="E738" s="12">
        <v>43490</v>
      </c>
      <c r="F738" s="26" t="str">
        <f t="shared" si="22"/>
        <v>42 : 17</v>
      </c>
      <c r="G738" s="14">
        <f t="shared" si="23"/>
        <v>1297</v>
      </c>
      <c r="H738" s="9">
        <v>8</v>
      </c>
      <c r="I738" s="9" t="s">
        <v>148</v>
      </c>
      <c r="J738" s="9" t="s">
        <v>33</v>
      </c>
      <c r="K738" s="9" t="s">
        <v>32</v>
      </c>
      <c r="L738" s="20">
        <v>0.5</v>
      </c>
      <c r="M738" s="14">
        <v>-0.5</v>
      </c>
      <c r="AD738" s="14">
        <v>1</v>
      </c>
      <c r="AE738" s="14">
        <v>1</v>
      </c>
      <c r="AG738" s="14" t="s">
        <v>275</v>
      </c>
    </row>
    <row r="739" spans="1:34" s="14" customFormat="1" x14ac:dyDescent="0.25">
      <c r="A739" s="10" t="s">
        <v>905</v>
      </c>
      <c r="B739" s="10"/>
      <c r="C739" s="10">
        <v>0</v>
      </c>
      <c r="D739" s="11">
        <v>42193</v>
      </c>
      <c r="E739" s="12">
        <v>43490</v>
      </c>
      <c r="F739" s="26" t="str">
        <f t="shared" si="22"/>
        <v>42 : 17</v>
      </c>
      <c r="G739" s="14">
        <f t="shared" si="23"/>
        <v>1297</v>
      </c>
      <c r="H739" s="9">
        <v>8</v>
      </c>
      <c r="I739" s="9" t="s">
        <v>152</v>
      </c>
      <c r="J739" s="9" t="s">
        <v>30</v>
      </c>
      <c r="K739" s="9" t="s">
        <v>30</v>
      </c>
      <c r="L739" s="20">
        <v>0.5</v>
      </c>
      <c r="M739" s="14">
        <v>0.5</v>
      </c>
      <c r="AD739" s="14">
        <v>1</v>
      </c>
      <c r="AE739" s="14">
        <v>1</v>
      </c>
      <c r="AG739" s="14" t="s">
        <v>911</v>
      </c>
    </row>
    <row r="740" spans="1:34" s="14" customFormat="1" x14ac:dyDescent="0.25">
      <c r="A740" s="10" t="s">
        <v>905</v>
      </c>
      <c r="B740" s="10"/>
      <c r="C740" s="10">
        <v>0</v>
      </c>
      <c r="D740" s="11">
        <v>42193</v>
      </c>
      <c r="E740" s="12">
        <v>43490</v>
      </c>
      <c r="F740" s="26" t="str">
        <f t="shared" si="22"/>
        <v>42 : 17</v>
      </c>
      <c r="G740" s="14">
        <f t="shared" si="23"/>
        <v>1297</v>
      </c>
      <c r="H740" s="9">
        <v>8</v>
      </c>
      <c r="I740" s="9" t="s">
        <v>153</v>
      </c>
      <c r="J740" s="9" t="s">
        <v>39</v>
      </c>
      <c r="K740" s="9" t="s">
        <v>39</v>
      </c>
      <c r="L740" s="20">
        <v>-0.5</v>
      </c>
      <c r="M740" s="9">
        <v>0.5</v>
      </c>
      <c r="O740" s="14">
        <v>1</v>
      </c>
      <c r="R740" s="14">
        <v>1</v>
      </c>
      <c r="S740" s="14">
        <v>0</v>
      </c>
      <c r="Y740" s="14">
        <v>1</v>
      </c>
      <c r="AD740" s="14">
        <v>0</v>
      </c>
      <c r="AE740" s="14">
        <v>1</v>
      </c>
      <c r="AF740" s="14" t="s">
        <v>912</v>
      </c>
      <c r="AG740" s="14" t="s">
        <v>913</v>
      </c>
    </row>
    <row r="741" spans="1:34" s="14" customFormat="1" x14ac:dyDescent="0.25">
      <c r="A741" s="10" t="s">
        <v>905</v>
      </c>
      <c r="B741" s="10"/>
      <c r="C741" s="10">
        <v>0</v>
      </c>
      <c r="D741" s="11">
        <v>42193</v>
      </c>
      <c r="E741" s="12">
        <v>43490</v>
      </c>
      <c r="F741" s="26" t="str">
        <f t="shared" si="22"/>
        <v>42 : 17</v>
      </c>
      <c r="G741" s="14">
        <f t="shared" si="23"/>
        <v>1297</v>
      </c>
      <c r="H741" s="9">
        <v>8</v>
      </c>
      <c r="I741" s="9" t="s">
        <v>154</v>
      </c>
      <c r="J741" s="9" t="s">
        <v>40</v>
      </c>
      <c r="K741" s="9" t="s">
        <v>40</v>
      </c>
      <c r="L741" s="20">
        <v>0.5</v>
      </c>
      <c r="M741" s="14">
        <v>0.5</v>
      </c>
      <c r="R741" s="14">
        <v>1</v>
      </c>
      <c r="S741" s="14">
        <v>0</v>
      </c>
      <c r="Y741" s="14">
        <v>1</v>
      </c>
      <c r="AD741" s="14">
        <v>0</v>
      </c>
      <c r="AE741" s="14">
        <v>0</v>
      </c>
      <c r="AF741" s="14" t="s">
        <v>914</v>
      </c>
      <c r="AG741" s="14" t="s">
        <v>715</v>
      </c>
      <c r="AH741" s="14" t="s">
        <v>915</v>
      </c>
    </row>
    <row r="742" spans="1:34" s="14" customFormat="1" x14ac:dyDescent="0.25">
      <c r="A742" s="10" t="s">
        <v>905</v>
      </c>
      <c r="B742" s="10"/>
      <c r="C742" s="10">
        <v>0</v>
      </c>
      <c r="D742" s="11">
        <v>42193</v>
      </c>
      <c r="E742" s="12">
        <v>43490</v>
      </c>
      <c r="F742" s="26" t="str">
        <f t="shared" si="22"/>
        <v>42 : 17</v>
      </c>
      <c r="G742" s="14">
        <f t="shared" si="23"/>
        <v>1297</v>
      </c>
      <c r="H742" s="9">
        <v>8</v>
      </c>
      <c r="I742" s="9" t="s">
        <v>155</v>
      </c>
      <c r="J742" s="9" t="s">
        <v>33</v>
      </c>
      <c r="K742" s="9" t="s">
        <v>33</v>
      </c>
      <c r="L742" s="20">
        <v>-0.5</v>
      </c>
      <c r="M742" s="14">
        <v>0.5</v>
      </c>
      <c r="AD742" s="14">
        <v>0</v>
      </c>
      <c r="AE742" s="14">
        <v>1</v>
      </c>
      <c r="AG742" s="14" t="s">
        <v>123</v>
      </c>
    </row>
    <row r="743" spans="1:34" s="14" customFormat="1" x14ac:dyDescent="0.25">
      <c r="A743" s="10" t="s">
        <v>905</v>
      </c>
      <c r="B743" s="10"/>
      <c r="C743" s="10">
        <v>0</v>
      </c>
      <c r="D743" s="11">
        <v>42193</v>
      </c>
      <c r="E743" s="12">
        <v>43490</v>
      </c>
      <c r="F743" s="26" t="str">
        <f t="shared" si="22"/>
        <v>42 : 17</v>
      </c>
      <c r="G743" s="14">
        <f t="shared" si="23"/>
        <v>1297</v>
      </c>
      <c r="H743" s="9">
        <v>8</v>
      </c>
      <c r="I743" s="9" t="s">
        <v>156</v>
      </c>
      <c r="J743" s="9" t="s">
        <v>30</v>
      </c>
      <c r="K743" s="9" t="s">
        <v>40</v>
      </c>
      <c r="L743" s="20">
        <v>-0.5</v>
      </c>
      <c r="M743" s="14">
        <v>-0.5</v>
      </c>
      <c r="Q743" s="14">
        <v>1</v>
      </c>
      <c r="V743" s="14" t="s">
        <v>261</v>
      </c>
      <c r="W743" s="14">
        <v>1</v>
      </c>
      <c r="Y743" s="14">
        <v>1</v>
      </c>
      <c r="AA743" s="14">
        <v>1</v>
      </c>
      <c r="AF743" s="14" t="s">
        <v>916</v>
      </c>
      <c r="AG743" s="14" t="s">
        <v>917</v>
      </c>
    </row>
    <row r="744" spans="1:34" s="14" customFormat="1" x14ac:dyDescent="0.25">
      <c r="A744" s="10" t="s">
        <v>905</v>
      </c>
      <c r="B744" s="10"/>
      <c r="C744" s="10">
        <v>0</v>
      </c>
      <c r="D744" s="11">
        <v>42193</v>
      </c>
      <c r="E744" s="12">
        <v>43490</v>
      </c>
      <c r="F744" s="26" t="str">
        <f t="shared" si="22"/>
        <v>42 : 17</v>
      </c>
      <c r="G744" s="14">
        <f t="shared" si="23"/>
        <v>1297</v>
      </c>
      <c r="H744" s="9">
        <v>8</v>
      </c>
      <c r="I744" s="9" t="s">
        <v>157</v>
      </c>
      <c r="J744" s="9" t="s">
        <v>32</v>
      </c>
      <c r="K744" s="9" t="s">
        <v>35</v>
      </c>
      <c r="L744" s="20">
        <v>0.5</v>
      </c>
      <c r="M744" s="14">
        <v>-0.5</v>
      </c>
      <c r="R744" s="14">
        <v>1</v>
      </c>
      <c r="V744" s="14" t="s">
        <v>261</v>
      </c>
      <c r="W744" s="14">
        <v>1</v>
      </c>
      <c r="Y744" s="14">
        <v>1</v>
      </c>
      <c r="AA744" s="14">
        <v>1</v>
      </c>
      <c r="AF744" s="14" t="s">
        <v>918</v>
      </c>
      <c r="AG744" s="14" t="s">
        <v>919</v>
      </c>
    </row>
    <row r="745" spans="1:34" s="14" customFormat="1" x14ac:dyDescent="0.25">
      <c r="A745" s="10" t="s">
        <v>905</v>
      </c>
      <c r="B745" s="10"/>
      <c r="C745" s="10">
        <v>0</v>
      </c>
      <c r="D745" s="11">
        <v>42193</v>
      </c>
      <c r="E745" s="12">
        <v>43490</v>
      </c>
      <c r="F745" s="26" t="str">
        <f t="shared" si="22"/>
        <v>42 : 17</v>
      </c>
      <c r="G745" s="14">
        <f t="shared" si="23"/>
        <v>1297</v>
      </c>
      <c r="H745" s="9">
        <v>8</v>
      </c>
      <c r="I745" s="9" t="s">
        <v>158</v>
      </c>
      <c r="J745" s="9" t="s">
        <v>39</v>
      </c>
      <c r="K745" s="9" t="s">
        <v>39</v>
      </c>
      <c r="L745" s="20">
        <v>0.5</v>
      </c>
      <c r="M745" s="14">
        <v>0.5</v>
      </c>
      <c r="AD745" s="14">
        <v>0</v>
      </c>
      <c r="AE745" s="14">
        <v>0</v>
      </c>
      <c r="AG745" s="14" t="s">
        <v>644</v>
      </c>
    </row>
    <row r="746" spans="1:34" s="14" customFormat="1" x14ac:dyDescent="0.25">
      <c r="A746" s="10" t="s">
        <v>920</v>
      </c>
      <c r="B746" s="10"/>
      <c r="C746" s="10">
        <v>1</v>
      </c>
      <c r="D746" s="11">
        <v>42195</v>
      </c>
      <c r="E746" s="12">
        <v>43487</v>
      </c>
      <c r="F746" s="26" t="str">
        <f t="shared" ref="F746:F809" si="24">DATEDIF(D746,E746,"M")&amp;" : "&amp;DATEDIF(D746,E746,"MD")</f>
        <v>42 : 12</v>
      </c>
      <c r="G746" s="14">
        <f t="shared" ref="G746:G809" si="25">DATEDIF(D746,E746,"D")</f>
        <v>1292</v>
      </c>
      <c r="H746" s="9">
        <v>6</v>
      </c>
      <c r="I746" s="9" t="s">
        <v>143</v>
      </c>
      <c r="J746" s="9" t="s">
        <v>40</v>
      </c>
      <c r="K746" s="9" t="s">
        <v>39</v>
      </c>
      <c r="L746" s="20">
        <v>0.5</v>
      </c>
      <c r="M746" s="14">
        <v>-0.5</v>
      </c>
      <c r="AD746" s="14">
        <v>1</v>
      </c>
      <c r="AE746" s="14">
        <v>1</v>
      </c>
      <c r="AG746" s="14" t="s">
        <v>848</v>
      </c>
    </row>
    <row r="747" spans="1:34" s="14" customFormat="1" x14ac:dyDescent="0.25">
      <c r="A747" s="10" t="s">
        <v>920</v>
      </c>
      <c r="B747" s="10"/>
      <c r="C747" s="10">
        <v>1</v>
      </c>
      <c r="D747" s="11">
        <v>42195</v>
      </c>
      <c r="E747" s="12">
        <v>43487</v>
      </c>
      <c r="F747" s="26" t="str">
        <f t="shared" si="24"/>
        <v>42 : 12</v>
      </c>
      <c r="G747" s="14">
        <f t="shared" si="25"/>
        <v>1292</v>
      </c>
      <c r="H747" s="9">
        <v>6</v>
      </c>
      <c r="I747" s="9" t="s">
        <v>145</v>
      </c>
      <c r="J747" s="9" t="s">
        <v>35</v>
      </c>
      <c r="K747" s="9" t="s">
        <v>33</v>
      </c>
      <c r="L747" s="20">
        <v>-0.5</v>
      </c>
      <c r="M747" s="14">
        <v>-0.5</v>
      </c>
      <c r="R747" s="14">
        <v>1</v>
      </c>
      <c r="S747" s="14">
        <v>0</v>
      </c>
      <c r="Y747" s="14">
        <v>1</v>
      </c>
      <c r="AA747" s="14">
        <v>1</v>
      </c>
      <c r="AF747" s="14" t="s">
        <v>921</v>
      </c>
      <c r="AG747" s="14" t="s">
        <v>339</v>
      </c>
    </row>
    <row r="748" spans="1:34" s="14" customFormat="1" x14ac:dyDescent="0.25">
      <c r="A748" s="10" t="s">
        <v>920</v>
      </c>
      <c r="B748" s="10"/>
      <c r="C748" s="10">
        <v>1</v>
      </c>
      <c r="D748" s="11">
        <v>42195</v>
      </c>
      <c r="E748" s="12">
        <v>43487</v>
      </c>
      <c r="F748" s="26" t="str">
        <f t="shared" si="24"/>
        <v>42 : 12</v>
      </c>
      <c r="G748" s="14">
        <f t="shared" si="25"/>
        <v>1292</v>
      </c>
      <c r="H748" s="9">
        <v>6</v>
      </c>
      <c r="I748" s="9" t="s">
        <v>146</v>
      </c>
      <c r="J748" s="9" t="s">
        <v>32</v>
      </c>
      <c r="K748" s="9" t="s">
        <v>32</v>
      </c>
      <c r="L748" s="20">
        <v>0.5</v>
      </c>
      <c r="M748" s="14">
        <v>0.5</v>
      </c>
      <c r="AD748" s="14">
        <v>1</v>
      </c>
      <c r="AE748" s="14">
        <v>1</v>
      </c>
      <c r="AG748" s="14" t="s">
        <v>317</v>
      </c>
    </row>
    <row r="749" spans="1:34" s="14" customFormat="1" x14ac:dyDescent="0.25">
      <c r="A749" s="10" t="s">
        <v>920</v>
      </c>
      <c r="B749" s="10"/>
      <c r="C749" s="10">
        <v>1</v>
      </c>
      <c r="D749" s="11">
        <v>42195</v>
      </c>
      <c r="E749" s="12">
        <v>43487</v>
      </c>
      <c r="F749" s="26" t="str">
        <f t="shared" si="24"/>
        <v>42 : 12</v>
      </c>
      <c r="G749" s="14">
        <f t="shared" si="25"/>
        <v>1292</v>
      </c>
      <c r="H749" s="9">
        <v>6</v>
      </c>
      <c r="I749" s="9" t="s">
        <v>147</v>
      </c>
      <c r="J749" s="9" t="s">
        <v>35</v>
      </c>
      <c r="K749" s="9" t="s">
        <v>35</v>
      </c>
      <c r="L749" s="20">
        <v>0.5</v>
      </c>
      <c r="M749" s="14">
        <v>0.5</v>
      </c>
      <c r="S749" s="14">
        <v>0</v>
      </c>
      <c r="Y749" s="14">
        <v>1</v>
      </c>
      <c r="AD749" s="14">
        <v>0</v>
      </c>
      <c r="AE749" s="14">
        <v>0</v>
      </c>
      <c r="AF749" s="14" t="s">
        <v>922</v>
      </c>
      <c r="AG749" s="14" t="s">
        <v>602</v>
      </c>
    </row>
    <row r="750" spans="1:34" s="14" customFormat="1" x14ac:dyDescent="0.25">
      <c r="A750" s="10" t="s">
        <v>920</v>
      </c>
      <c r="B750" s="10"/>
      <c r="C750" s="10">
        <v>1</v>
      </c>
      <c r="D750" s="11">
        <v>42195</v>
      </c>
      <c r="E750" s="12">
        <v>43487</v>
      </c>
      <c r="F750" s="26" t="str">
        <f t="shared" si="24"/>
        <v>42 : 12</v>
      </c>
      <c r="G750" s="14">
        <f t="shared" si="25"/>
        <v>1292</v>
      </c>
      <c r="H750" s="9">
        <v>6</v>
      </c>
      <c r="I750" s="9" t="s">
        <v>148</v>
      </c>
      <c r="J750" s="9" t="s">
        <v>33</v>
      </c>
      <c r="K750" s="9" t="s">
        <v>32</v>
      </c>
      <c r="L750" s="20">
        <v>-0.5</v>
      </c>
      <c r="M750" s="14">
        <v>-0.5</v>
      </c>
      <c r="AD750" s="14">
        <v>1</v>
      </c>
      <c r="AE750" s="14">
        <v>0</v>
      </c>
      <c r="AG750" s="14" t="s">
        <v>330</v>
      </c>
    </row>
    <row r="751" spans="1:34" s="14" customFormat="1" x14ac:dyDescent="0.25">
      <c r="A751" s="10" t="s">
        <v>920</v>
      </c>
      <c r="B751" s="10"/>
      <c r="C751" s="10">
        <v>1</v>
      </c>
      <c r="D751" s="11">
        <v>42195</v>
      </c>
      <c r="E751" s="12">
        <v>43487</v>
      </c>
      <c r="F751" s="26" t="str">
        <f t="shared" si="24"/>
        <v>42 : 12</v>
      </c>
      <c r="G751" s="14">
        <f t="shared" si="25"/>
        <v>1292</v>
      </c>
      <c r="H751" s="9">
        <v>6</v>
      </c>
      <c r="I751" s="9" t="s">
        <v>152</v>
      </c>
      <c r="J751" s="9" t="s">
        <v>30</v>
      </c>
      <c r="K751" s="9" t="s">
        <v>30</v>
      </c>
      <c r="L751" s="20">
        <v>-0.5</v>
      </c>
      <c r="M751" s="14">
        <v>0.5</v>
      </c>
      <c r="S751" s="14">
        <v>0</v>
      </c>
      <c r="Y751" s="14">
        <v>1</v>
      </c>
      <c r="AD751" s="14">
        <v>0</v>
      </c>
      <c r="AE751" s="14">
        <v>1</v>
      </c>
      <c r="AF751" s="14" t="s">
        <v>923</v>
      </c>
      <c r="AG751" s="14" t="s">
        <v>98</v>
      </c>
    </row>
    <row r="752" spans="1:34" s="14" customFormat="1" x14ac:dyDescent="0.25">
      <c r="A752" s="10" t="s">
        <v>920</v>
      </c>
      <c r="B752" s="10"/>
      <c r="C752" s="10">
        <v>1</v>
      </c>
      <c r="D752" s="11">
        <v>42195</v>
      </c>
      <c r="E752" s="12">
        <v>43487</v>
      </c>
      <c r="F752" s="26" t="str">
        <f t="shared" si="24"/>
        <v>42 : 12</v>
      </c>
      <c r="G752" s="14">
        <f t="shared" si="25"/>
        <v>1292</v>
      </c>
      <c r="H752" s="9">
        <v>6</v>
      </c>
      <c r="I752" s="9" t="s">
        <v>153</v>
      </c>
      <c r="J752" s="9" t="s">
        <v>39</v>
      </c>
      <c r="K752" s="9" t="s">
        <v>39</v>
      </c>
      <c r="L752" s="20">
        <v>0.5</v>
      </c>
      <c r="M752" s="9">
        <v>0.5</v>
      </c>
      <c r="O752" s="14">
        <v>1</v>
      </c>
      <c r="AD752" s="14">
        <v>1</v>
      </c>
      <c r="AE752" s="14">
        <v>1</v>
      </c>
      <c r="AG752" s="14" t="s">
        <v>321</v>
      </c>
    </row>
    <row r="753" spans="1:34" s="14" customFormat="1" x14ac:dyDescent="0.25">
      <c r="A753" s="10" t="s">
        <v>920</v>
      </c>
      <c r="B753" s="10"/>
      <c r="C753" s="10">
        <v>1</v>
      </c>
      <c r="D753" s="11">
        <v>42195</v>
      </c>
      <c r="E753" s="12">
        <v>43487</v>
      </c>
      <c r="F753" s="26" t="str">
        <f t="shared" si="24"/>
        <v>42 : 12</v>
      </c>
      <c r="G753" s="14">
        <f t="shared" si="25"/>
        <v>1292</v>
      </c>
      <c r="H753" s="9">
        <v>6</v>
      </c>
      <c r="I753" s="9" t="s">
        <v>154</v>
      </c>
      <c r="J753" s="9" t="s">
        <v>40</v>
      </c>
      <c r="K753" s="9" t="s">
        <v>40</v>
      </c>
      <c r="L753" s="20">
        <v>-0.5</v>
      </c>
      <c r="M753" s="14">
        <v>0.5</v>
      </c>
      <c r="R753" s="14">
        <v>1</v>
      </c>
      <c r="S753" s="14">
        <v>0</v>
      </c>
      <c r="AD753" s="14">
        <v>0</v>
      </c>
      <c r="AE753" s="14">
        <v>1</v>
      </c>
      <c r="AF753" s="14" t="s">
        <v>924</v>
      </c>
      <c r="AG753" s="14" t="s">
        <v>715</v>
      </c>
    </row>
    <row r="754" spans="1:34" s="14" customFormat="1" x14ac:dyDescent="0.25">
      <c r="A754" s="10" t="s">
        <v>920</v>
      </c>
      <c r="B754" s="10"/>
      <c r="C754" s="10">
        <v>1</v>
      </c>
      <c r="D754" s="11">
        <v>42195</v>
      </c>
      <c r="E754" s="12">
        <v>43487</v>
      </c>
      <c r="F754" s="26" t="str">
        <f t="shared" si="24"/>
        <v>42 : 12</v>
      </c>
      <c r="G754" s="14">
        <f t="shared" si="25"/>
        <v>1292</v>
      </c>
      <c r="H754" s="9">
        <v>6</v>
      </c>
      <c r="I754" s="9" t="s">
        <v>155</v>
      </c>
      <c r="J754" s="9" t="s">
        <v>33</v>
      </c>
      <c r="K754" s="9" t="s">
        <v>33</v>
      </c>
      <c r="L754" s="20">
        <v>0.5</v>
      </c>
      <c r="M754" s="14">
        <v>0.5</v>
      </c>
      <c r="S754" s="14">
        <v>0</v>
      </c>
      <c r="Y754" s="14">
        <v>1</v>
      </c>
      <c r="AD754" s="14">
        <v>0</v>
      </c>
      <c r="AE754" s="14">
        <v>0</v>
      </c>
      <c r="AF754" s="14" t="s">
        <v>925</v>
      </c>
      <c r="AG754" s="14" t="s">
        <v>305</v>
      </c>
    </row>
    <row r="755" spans="1:34" s="14" customFormat="1" x14ac:dyDescent="0.25">
      <c r="A755" s="10" t="s">
        <v>920</v>
      </c>
      <c r="B755" s="10"/>
      <c r="C755" s="10">
        <v>1</v>
      </c>
      <c r="D755" s="11">
        <v>42195</v>
      </c>
      <c r="E755" s="12">
        <v>43487</v>
      </c>
      <c r="F755" s="26" t="str">
        <f t="shared" si="24"/>
        <v>42 : 12</v>
      </c>
      <c r="G755" s="14">
        <f t="shared" si="25"/>
        <v>1292</v>
      </c>
      <c r="H755" s="9">
        <v>6</v>
      </c>
      <c r="I755" s="9" t="s">
        <v>156</v>
      </c>
      <c r="J755" s="9" t="s">
        <v>30</v>
      </c>
      <c r="K755" s="9" t="s">
        <v>40</v>
      </c>
      <c r="L755" s="20">
        <v>0.5</v>
      </c>
      <c r="M755" s="14">
        <v>-0.5</v>
      </c>
      <c r="AD755" s="14">
        <v>0</v>
      </c>
      <c r="AE755" s="14">
        <v>0</v>
      </c>
      <c r="AG755" s="14" t="s">
        <v>53</v>
      </c>
    </row>
    <row r="756" spans="1:34" s="14" customFormat="1" x14ac:dyDescent="0.25">
      <c r="A756" s="10" t="s">
        <v>920</v>
      </c>
      <c r="B756" s="10"/>
      <c r="C756" s="10">
        <v>1</v>
      </c>
      <c r="D756" s="11">
        <v>42195</v>
      </c>
      <c r="E756" s="12">
        <v>43487</v>
      </c>
      <c r="F756" s="26" t="str">
        <f t="shared" si="24"/>
        <v>42 : 12</v>
      </c>
      <c r="G756" s="14">
        <f t="shared" si="25"/>
        <v>1292</v>
      </c>
      <c r="H756" s="9">
        <v>6</v>
      </c>
      <c r="I756" s="9" t="s">
        <v>157</v>
      </c>
      <c r="J756" s="9" t="s">
        <v>32</v>
      </c>
      <c r="K756" s="9" t="s">
        <v>35</v>
      </c>
      <c r="L756" s="20">
        <v>-0.5</v>
      </c>
      <c r="M756" s="14">
        <v>-0.5</v>
      </c>
      <c r="R756" s="14">
        <v>1</v>
      </c>
      <c r="S756" s="14">
        <v>0</v>
      </c>
      <c r="Y756" s="14">
        <v>1</v>
      </c>
      <c r="AD756" s="14">
        <v>0</v>
      </c>
      <c r="AE756" s="14">
        <v>1</v>
      </c>
      <c r="AF756" s="14" t="s">
        <v>926</v>
      </c>
      <c r="AG756" s="14" t="s">
        <v>305</v>
      </c>
    </row>
    <row r="757" spans="1:34" s="14" customFormat="1" x14ac:dyDescent="0.25">
      <c r="A757" s="10" t="s">
        <v>920</v>
      </c>
      <c r="B757" s="10"/>
      <c r="C757" s="10">
        <v>1</v>
      </c>
      <c r="D757" s="11">
        <v>42195</v>
      </c>
      <c r="E757" s="12">
        <v>43487</v>
      </c>
      <c r="F757" s="26" t="str">
        <f t="shared" si="24"/>
        <v>42 : 12</v>
      </c>
      <c r="G757" s="14">
        <f t="shared" si="25"/>
        <v>1292</v>
      </c>
      <c r="H757" s="9">
        <v>6</v>
      </c>
      <c r="I757" s="9" t="s">
        <v>158</v>
      </c>
      <c r="J757" s="9" t="s">
        <v>39</v>
      </c>
      <c r="K757" s="9" t="s">
        <v>39</v>
      </c>
      <c r="L757" s="20">
        <v>-0.5</v>
      </c>
      <c r="M757" s="14">
        <v>0.5</v>
      </c>
      <c r="AD757" s="14">
        <v>0</v>
      </c>
      <c r="AE757" s="14">
        <v>1</v>
      </c>
      <c r="AG757" s="14" t="s">
        <v>265</v>
      </c>
    </row>
    <row r="758" spans="1:34" s="14" customFormat="1" x14ac:dyDescent="0.25">
      <c r="A758" s="10" t="s">
        <v>927</v>
      </c>
      <c r="B758" s="10"/>
      <c r="C758" s="10">
        <v>1</v>
      </c>
      <c r="D758" s="11">
        <v>42197</v>
      </c>
      <c r="E758" s="12">
        <v>43503</v>
      </c>
      <c r="F758" s="26" t="str">
        <f t="shared" si="24"/>
        <v>42 : 26</v>
      </c>
      <c r="G758" s="14">
        <f t="shared" si="25"/>
        <v>1306</v>
      </c>
      <c r="H758" s="9">
        <v>6</v>
      </c>
      <c r="I758" s="9" t="s">
        <v>143</v>
      </c>
      <c r="J758" s="9" t="s">
        <v>40</v>
      </c>
      <c r="K758" s="9" t="s">
        <v>39</v>
      </c>
      <c r="L758" s="20">
        <v>0.5</v>
      </c>
      <c r="M758" s="14">
        <v>-0.5</v>
      </c>
      <c r="Z758" s="14">
        <v>1</v>
      </c>
      <c r="AA758" s="14">
        <v>1</v>
      </c>
      <c r="AF758" s="14" t="s">
        <v>928</v>
      </c>
      <c r="AG758" s="14" t="s">
        <v>929</v>
      </c>
    </row>
    <row r="759" spans="1:34" s="14" customFormat="1" x14ac:dyDescent="0.25">
      <c r="A759" s="10" t="s">
        <v>927</v>
      </c>
      <c r="B759" s="10"/>
      <c r="C759" s="10">
        <v>1</v>
      </c>
      <c r="D759" s="11">
        <v>42197</v>
      </c>
      <c r="E759" s="12">
        <v>43503</v>
      </c>
      <c r="F759" s="26" t="str">
        <f t="shared" si="24"/>
        <v>42 : 26</v>
      </c>
      <c r="G759" s="14">
        <f t="shared" si="25"/>
        <v>1306</v>
      </c>
      <c r="H759" s="9">
        <v>6</v>
      </c>
      <c r="I759" s="9" t="s">
        <v>145</v>
      </c>
      <c r="J759" s="9" t="s">
        <v>35</v>
      </c>
      <c r="K759" s="9" t="s">
        <v>33</v>
      </c>
      <c r="L759" s="20">
        <v>-0.5</v>
      </c>
      <c r="M759" s="14">
        <v>-0.5</v>
      </c>
      <c r="S759" s="14">
        <v>0</v>
      </c>
      <c r="AD759" s="14">
        <v>0</v>
      </c>
      <c r="AE759" s="14">
        <v>1</v>
      </c>
      <c r="AF759" s="14" t="s">
        <v>930</v>
      </c>
      <c r="AG759" s="14" t="s">
        <v>931</v>
      </c>
    </row>
    <row r="760" spans="1:34" s="14" customFormat="1" x14ac:dyDescent="0.25">
      <c r="A760" s="10" t="s">
        <v>927</v>
      </c>
      <c r="B760" s="10"/>
      <c r="C760" s="10">
        <v>1</v>
      </c>
      <c r="D760" s="11">
        <v>42197</v>
      </c>
      <c r="E760" s="12">
        <v>43503</v>
      </c>
      <c r="F760" s="26" t="str">
        <f t="shared" si="24"/>
        <v>42 : 26</v>
      </c>
      <c r="G760" s="14">
        <f t="shared" si="25"/>
        <v>1306</v>
      </c>
      <c r="H760" s="9">
        <v>6</v>
      </c>
      <c r="I760" s="9" t="s">
        <v>146</v>
      </c>
      <c r="J760" s="9" t="s">
        <v>32</v>
      </c>
      <c r="K760" s="9" t="s">
        <v>32</v>
      </c>
      <c r="L760" s="20">
        <v>0.5</v>
      </c>
      <c r="M760" s="14">
        <v>0.5</v>
      </c>
      <c r="V760" s="14" t="s">
        <v>261</v>
      </c>
      <c r="W760" s="14">
        <v>1</v>
      </c>
      <c r="Y760" s="14">
        <v>1</v>
      </c>
      <c r="AA760" s="14">
        <v>1</v>
      </c>
      <c r="AF760" s="14" t="s">
        <v>932</v>
      </c>
      <c r="AG760" s="14" t="s">
        <v>932</v>
      </c>
    </row>
    <row r="761" spans="1:34" s="14" customFormat="1" x14ac:dyDescent="0.25">
      <c r="A761" s="10" t="s">
        <v>927</v>
      </c>
      <c r="B761" s="10"/>
      <c r="C761" s="10">
        <v>1</v>
      </c>
      <c r="D761" s="11">
        <v>42197</v>
      </c>
      <c r="E761" s="12">
        <v>43503</v>
      </c>
      <c r="F761" s="26" t="str">
        <f t="shared" si="24"/>
        <v>42 : 26</v>
      </c>
      <c r="G761" s="14">
        <f t="shared" si="25"/>
        <v>1306</v>
      </c>
      <c r="H761" s="9">
        <v>6</v>
      </c>
      <c r="I761" s="9" t="s">
        <v>147</v>
      </c>
      <c r="J761" s="9" t="s">
        <v>35</v>
      </c>
      <c r="K761" s="9" t="s">
        <v>35</v>
      </c>
      <c r="L761" s="20">
        <v>0.5</v>
      </c>
      <c r="M761" s="14">
        <v>0.5</v>
      </c>
      <c r="Z761" s="14">
        <v>1</v>
      </c>
      <c r="AA761" s="14">
        <v>1</v>
      </c>
      <c r="AD761" s="13"/>
      <c r="AE761" s="13"/>
      <c r="AF761" s="14" t="s">
        <v>933</v>
      </c>
      <c r="AG761" s="14" t="s">
        <v>136</v>
      </c>
    </row>
    <row r="762" spans="1:34" s="14" customFormat="1" x14ac:dyDescent="0.25">
      <c r="A762" s="10" t="s">
        <v>927</v>
      </c>
      <c r="B762" s="10"/>
      <c r="C762" s="10">
        <v>1</v>
      </c>
      <c r="D762" s="11">
        <v>42197</v>
      </c>
      <c r="E762" s="12">
        <v>43503</v>
      </c>
      <c r="F762" s="26" t="str">
        <f t="shared" si="24"/>
        <v>42 : 26</v>
      </c>
      <c r="G762" s="14">
        <f t="shared" si="25"/>
        <v>1306</v>
      </c>
      <c r="H762" s="9">
        <v>6</v>
      </c>
      <c r="I762" s="9" t="s">
        <v>148</v>
      </c>
      <c r="J762" s="9" t="s">
        <v>33</v>
      </c>
      <c r="K762" s="9" t="s">
        <v>32</v>
      </c>
      <c r="L762" s="20">
        <v>-0.5</v>
      </c>
      <c r="M762" s="14">
        <v>-0.5</v>
      </c>
      <c r="V762" s="14" t="s">
        <v>261</v>
      </c>
      <c r="W762" s="14">
        <v>1</v>
      </c>
      <c r="AA762" s="14">
        <v>1</v>
      </c>
      <c r="AF762" s="14" t="s">
        <v>934</v>
      </c>
      <c r="AG762" s="14" t="s">
        <v>935</v>
      </c>
    </row>
    <row r="763" spans="1:34" s="14" customFormat="1" x14ac:dyDescent="0.25">
      <c r="A763" s="10" t="s">
        <v>927</v>
      </c>
      <c r="B763" s="10"/>
      <c r="C763" s="10">
        <v>1</v>
      </c>
      <c r="D763" s="11">
        <v>42197</v>
      </c>
      <c r="E763" s="12">
        <v>43503</v>
      </c>
      <c r="F763" s="26" t="str">
        <f t="shared" si="24"/>
        <v>42 : 26</v>
      </c>
      <c r="G763" s="14">
        <f t="shared" si="25"/>
        <v>1306</v>
      </c>
      <c r="H763" s="9">
        <v>6</v>
      </c>
      <c r="I763" s="9" t="s">
        <v>152</v>
      </c>
      <c r="J763" s="9" t="s">
        <v>30</v>
      </c>
      <c r="K763" s="9" t="s">
        <v>30</v>
      </c>
      <c r="L763" s="20">
        <v>-0.5</v>
      </c>
      <c r="M763" s="14">
        <v>0.5</v>
      </c>
      <c r="Z763" s="14">
        <v>1</v>
      </c>
      <c r="AA763" s="14">
        <v>1</v>
      </c>
      <c r="AF763" s="14" t="s">
        <v>936</v>
      </c>
      <c r="AG763" s="14" t="s">
        <v>937</v>
      </c>
    </row>
    <row r="764" spans="1:34" s="14" customFormat="1" x14ac:dyDescent="0.25">
      <c r="A764" s="10" t="s">
        <v>927</v>
      </c>
      <c r="B764" s="10"/>
      <c r="C764" s="10">
        <v>1</v>
      </c>
      <c r="D764" s="11">
        <v>42197</v>
      </c>
      <c r="E764" s="12">
        <v>43503</v>
      </c>
      <c r="F764" s="26" t="str">
        <f t="shared" si="24"/>
        <v>42 : 26</v>
      </c>
      <c r="G764" s="14">
        <f t="shared" si="25"/>
        <v>1306</v>
      </c>
      <c r="H764" s="9">
        <v>6</v>
      </c>
      <c r="I764" s="9" t="s">
        <v>153</v>
      </c>
      <c r="J764" s="9" t="s">
        <v>39</v>
      </c>
      <c r="K764" s="9" t="s">
        <v>39</v>
      </c>
      <c r="L764" s="20">
        <v>0.5</v>
      </c>
      <c r="M764" s="9">
        <v>0.5</v>
      </c>
      <c r="O764" s="14">
        <v>1</v>
      </c>
      <c r="Y764" s="14">
        <v>1</v>
      </c>
      <c r="AD764" s="14">
        <v>0</v>
      </c>
      <c r="AE764" s="14">
        <v>0</v>
      </c>
      <c r="AF764" s="14" t="s">
        <v>938</v>
      </c>
      <c r="AG764" s="14" t="s">
        <v>67</v>
      </c>
    </row>
    <row r="765" spans="1:34" s="14" customFormat="1" x14ac:dyDescent="0.25">
      <c r="A765" s="10" t="s">
        <v>927</v>
      </c>
      <c r="B765" s="10"/>
      <c r="C765" s="10">
        <v>1</v>
      </c>
      <c r="D765" s="11">
        <v>42197</v>
      </c>
      <c r="E765" s="12">
        <v>43503</v>
      </c>
      <c r="F765" s="26" t="str">
        <f t="shared" si="24"/>
        <v>42 : 26</v>
      </c>
      <c r="G765" s="14">
        <f t="shared" si="25"/>
        <v>1306</v>
      </c>
      <c r="H765" s="9">
        <v>6</v>
      </c>
      <c r="I765" s="9" t="s">
        <v>154</v>
      </c>
      <c r="J765" s="9" t="s">
        <v>40</v>
      </c>
      <c r="K765" s="9" t="s">
        <v>40</v>
      </c>
      <c r="L765" s="20">
        <v>-0.5</v>
      </c>
      <c r="M765" s="14">
        <v>0.5</v>
      </c>
      <c r="Y765" s="14">
        <v>1</v>
      </c>
      <c r="AD765" s="14">
        <v>0</v>
      </c>
      <c r="AE765" s="14">
        <v>1</v>
      </c>
      <c r="AF765" s="14" t="s">
        <v>939</v>
      </c>
      <c r="AG765" s="14" t="s">
        <v>84</v>
      </c>
    </row>
    <row r="766" spans="1:34" s="14" customFormat="1" x14ac:dyDescent="0.25">
      <c r="A766" s="10" t="s">
        <v>927</v>
      </c>
      <c r="B766" s="10"/>
      <c r="C766" s="10">
        <v>1</v>
      </c>
      <c r="D766" s="11">
        <v>42197</v>
      </c>
      <c r="E766" s="12">
        <v>43503</v>
      </c>
      <c r="F766" s="26" t="str">
        <f t="shared" si="24"/>
        <v>42 : 26</v>
      </c>
      <c r="G766" s="14">
        <f t="shared" si="25"/>
        <v>1306</v>
      </c>
      <c r="H766" s="9">
        <v>6</v>
      </c>
      <c r="I766" s="9" t="s">
        <v>155</v>
      </c>
      <c r="J766" s="9" t="s">
        <v>33</v>
      </c>
      <c r="K766" s="9" t="s">
        <v>33</v>
      </c>
      <c r="L766" s="20">
        <v>0.5</v>
      </c>
      <c r="M766" s="14">
        <v>0.5</v>
      </c>
      <c r="AD766" s="14">
        <v>0</v>
      </c>
      <c r="AE766" s="14">
        <v>0</v>
      </c>
      <c r="AG766" s="14" t="s">
        <v>940</v>
      </c>
    </row>
    <row r="767" spans="1:34" s="14" customFormat="1" x14ac:dyDescent="0.25">
      <c r="A767" s="10" t="s">
        <v>927</v>
      </c>
      <c r="B767" s="10"/>
      <c r="C767" s="10">
        <v>1</v>
      </c>
      <c r="D767" s="11">
        <v>42197</v>
      </c>
      <c r="E767" s="12">
        <v>43503</v>
      </c>
      <c r="F767" s="26" t="str">
        <f t="shared" si="24"/>
        <v>42 : 26</v>
      </c>
      <c r="G767" s="14">
        <f t="shared" si="25"/>
        <v>1306</v>
      </c>
      <c r="H767" s="9">
        <v>6</v>
      </c>
      <c r="I767" s="9" t="s">
        <v>156</v>
      </c>
      <c r="J767" s="9" t="s">
        <v>30</v>
      </c>
      <c r="K767" s="9" t="s">
        <v>40</v>
      </c>
      <c r="L767" s="20">
        <v>0.5</v>
      </c>
      <c r="M767" s="14">
        <v>-0.5</v>
      </c>
      <c r="AD767" s="14">
        <v>0</v>
      </c>
      <c r="AE767" s="14">
        <v>0</v>
      </c>
      <c r="AG767" s="14" t="s">
        <v>941</v>
      </c>
      <c r="AH767" s="14" t="s">
        <v>263</v>
      </c>
    </row>
    <row r="768" spans="1:34" s="14" customFormat="1" x14ac:dyDescent="0.25">
      <c r="A768" s="10" t="s">
        <v>927</v>
      </c>
      <c r="B768" s="10"/>
      <c r="C768" s="10">
        <v>1</v>
      </c>
      <c r="D768" s="11">
        <v>42197</v>
      </c>
      <c r="E768" s="12">
        <v>43503</v>
      </c>
      <c r="F768" s="26" t="str">
        <f t="shared" si="24"/>
        <v>42 : 26</v>
      </c>
      <c r="G768" s="14">
        <f t="shared" si="25"/>
        <v>1306</v>
      </c>
      <c r="H768" s="9">
        <v>6</v>
      </c>
      <c r="I768" s="9" t="s">
        <v>157</v>
      </c>
      <c r="J768" s="9" t="s">
        <v>32</v>
      </c>
      <c r="K768" s="9" t="s">
        <v>35</v>
      </c>
      <c r="L768" s="20">
        <v>-0.5</v>
      </c>
      <c r="M768" s="14">
        <v>-0.5</v>
      </c>
      <c r="AA768" s="14">
        <v>1</v>
      </c>
      <c r="AC768" s="14">
        <v>1</v>
      </c>
      <c r="AG768" s="14" t="s">
        <v>942</v>
      </c>
    </row>
    <row r="769" spans="1:34" s="14" customFormat="1" x14ac:dyDescent="0.25">
      <c r="A769" s="10" t="s">
        <v>927</v>
      </c>
      <c r="B769" s="10"/>
      <c r="C769" s="10">
        <v>1</v>
      </c>
      <c r="D769" s="11">
        <v>42197</v>
      </c>
      <c r="E769" s="12">
        <v>43503</v>
      </c>
      <c r="F769" s="26" t="str">
        <f t="shared" si="24"/>
        <v>42 : 26</v>
      </c>
      <c r="G769" s="14">
        <f t="shared" si="25"/>
        <v>1306</v>
      </c>
      <c r="H769" s="9">
        <v>6</v>
      </c>
      <c r="I769" s="9" t="s">
        <v>158</v>
      </c>
      <c r="J769" s="9" t="s">
        <v>39</v>
      </c>
      <c r="K769" s="9" t="s">
        <v>39</v>
      </c>
      <c r="L769" s="20">
        <v>-0.5</v>
      </c>
      <c r="M769" s="14">
        <v>0.5</v>
      </c>
      <c r="AD769" s="14">
        <v>0</v>
      </c>
      <c r="AE769" s="14">
        <v>1</v>
      </c>
      <c r="AF769" s="14" t="s">
        <v>943</v>
      </c>
      <c r="AG769" s="14" t="s">
        <v>307</v>
      </c>
    </row>
    <row r="770" spans="1:34" s="14" customFormat="1" x14ac:dyDescent="0.25">
      <c r="A770" s="10" t="s">
        <v>944</v>
      </c>
      <c r="B770" s="10"/>
      <c r="C770" s="10">
        <v>0</v>
      </c>
      <c r="D770" s="11">
        <v>42198</v>
      </c>
      <c r="E770" s="12">
        <v>43494</v>
      </c>
      <c r="F770" s="26" t="str">
        <f t="shared" si="24"/>
        <v>42 : 16</v>
      </c>
      <c r="G770" s="14">
        <f t="shared" si="25"/>
        <v>1296</v>
      </c>
      <c r="H770" s="9">
        <v>3</v>
      </c>
      <c r="I770" s="9">
        <v>1</v>
      </c>
      <c r="J770" s="9" t="s">
        <v>30</v>
      </c>
      <c r="K770" s="9" t="s">
        <v>30</v>
      </c>
      <c r="L770" s="15">
        <v>0.5</v>
      </c>
      <c r="M770" s="14">
        <v>0.5</v>
      </c>
      <c r="AD770" s="14">
        <v>0</v>
      </c>
      <c r="AE770" s="14">
        <v>0</v>
      </c>
      <c r="AG770" s="14" t="s">
        <v>31</v>
      </c>
    </row>
    <row r="771" spans="1:34" s="14" customFormat="1" x14ac:dyDescent="0.25">
      <c r="A771" s="10" t="s">
        <v>944</v>
      </c>
      <c r="B771" s="10"/>
      <c r="C771" s="10">
        <v>0</v>
      </c>
      <c r="D771" s="11">
        <v>42198</v>
      </c>
      <c r="E771" s="12">
        <v>43494</v>
      </c>
      <c r="F771" s="26" t="str">
        <f t="shared" si="24"/>
        <v>42 : 16</v>
      </c>
      <c r="G771" s="14">
        <f t="shared" si="25"/>
        <v>1296</v>
      </c>
      <c r="H771" s="9">
        <v>3</v>
      </c>
      <c r="I771" s="9">
        <v>2</v>
      </c>
      <c r="J771" s="9" t="s">
        <v>32</v>
      </c>
      <c r="K771" s="9" t="s">
        <v>33</v>
      </c>
      <c r="L771" s="15">
        <v>0.5</v>
      </c>
      <c r="M771" s="14">
        <v>-0.5</v>
      </c>
      <c r="R771" s="14">
        <v>1</v>
      </c>
      <c r="S771" s="14">
        <v>0</v>
      </c>
      <c r="Y771" s="14">
        <v>1</v>
      </c>
      <c r="AA771" s="14">
        <v>1</v>
      </c>
      <c r="AF771" s="14" t="s">
        <v>945</v>
      </c>
      <c r="AG771" s="14" t="s">
        <v>946</v>
      </c>
    </row>
    <row r="772" spans="1:34" s="14" customFormat="1" x14ac:dyDescent="0.25">
      <c r="A772" s="10" t="s">
        <v>944</v>
      </c>
      <c r="B772" s="10"/>
      <c r="C772" s="10">
        <v>0</v>
      </c>
      <c r="D772" s="11">
        <v>42198</v>
      </c>
      <c r="E772" s="12">
        <v>43494</v>
      </c>
      <c r="F772" s="26" t="str">
        <f t="shared" si="24"/>
        <v>42 : 16</v>
      </c>
      <c r="G772" s="14">
        <f t="shared" si="25"/>
        <v>1296</v>
      </c>
      <c r="H772" s="9">
        <v>3</v>
      </c>
      <c r="I772" s="9">
        <v>3</v>
      </c>
      <c r="J772" s="9" t="s">
        <v>35</v>
      </c>
      <c r="K772" s="9" t="s">
        <v>35</v>
      </c>
      <c r="L772" s="15">
        <v>-0.5</v>
      </c>
      <c r="M772" s="14">
        <v>0.5</v>
      </c>
      <c r="S772" s="14">
        <v>0</v>
      </c>
      <c r="Y772" s="14">
        <v>1</v>
      </c>
      <c r="AA772" s="14">
        <v>1</v>
      </c>
      <c r="AF772" s="14" t="s">
        <v>947</v>
      </c>
      <c r="AG772" s="14" t="s">
        <v>694</v>
      </c>
    </row>
    <row r="773" spans="1:34" s="14" customFormat="1" x14ac:dyDescent="0.25">
      <c r="A773" s="10" t="s">
        <v>944</v>
      </c>
      <c r="B773" s="10"/>
      <c r="C773" s="10">
        <v>0</v>
      </c>
      <c r="D773" s="11">
        <v>42198</v>
      </c>
      <c r="E773" s="12">
        <v>43494</v>
      </c>
      <c r="F773" s="26" t="str">
        <f t="shared" si="24"/>
        <v>42 : 16</v>
      </c>
      <c r="G773" s="14">
        <f t="shared" si="25"/>
        <v>1296</v>
      </c>
      <c r="H773" s="9">
        <v>3</v>
      </c>
      <c r="I773" s="9">
        <v>4</v>
      </c>
      <c r="J773" s="9" t="s">
        <v>32</v>
      </c>
      <c r="K773" s="9" t="s">
        <v>32</v>
      </c>
      <c r="L773" s="15">
        <v>-0.5</v>
      </c>
      <c r="M773" s="14">
        <v>0.5</v>
      </c>
      <c r="AD773" s="14">
        <v>1</v>
      </c>
      <c r="AE773" s="14">
        <v>0</v>
      </c>
      <c r="AG773" s="14" t="s">
        <v>89</v>
      </c>
    </row>
    <row r="774" spans="1:34" s="14" customFormat="1" x14ac:dyDescent="0.25">
      <c r="A774" s="10" t="s">
        <v>944</v>
      </c>
      <c r="B774" s="10"/>
      <c r="C774" s="10">
        <v>0</v>
      </c>
      <c r="D774" s="11">
        <v>42198</v>
      </c>
      <c r="E774" s="12">
        <v>43494</v>
      </c>
      <c r="F774" s="26" t="str">
        <f t="shared" si="24"/>
        <v>42 : 16</v>
      </c>
      <c r="G774" s="14">
        <f t="shared" si="25"/>
        <v>1296</v>
      </c>
      <c r="H774" s="9">
        <v>3</v>
      </c>
      <c r="I774" s="9">
        <v>5</v>
      </c>
      <c r="J774" s="9" t="s">
        <v>33</v>
      </c>
      <c r="K774" s="9" t="s">
        <v>35</v>
      </c>
      <c r="L774" s="15">
        <v>0.5</v>
      </c>
      <c r="M774" s="14">
        <v>-0.5</v>
      </c>
      <c r="S774" s="14">
        <v>0</v>
      </c>
      <c r="AD774" s="14">
        <v>0</v>
      </c>
      <c r="AE774" s="14">
        <v>0</v>
      </c>
      <c r="AF774" s="14" t="s">
        <v>948</v>
      </c>
      <c r="AG774" s="14" t="s">
        <v>949</v>
      </c>
    </row>
    <row r="775" spans="1:34" s="14" customFormat="1" x14ac:dyDescent="0.25">
      <c r="A775" s="10" t="s">
        <v>944</v>
      </c>
      <c r="B775" s="10"/>
      <c r="C775" s="10">
        <v>0</v>
      </c>
      <c r="D775" s="11">
        <v>42198</v>
      </c>
      <c r="E775" s="12">
        <v>43494</v>
      </c>
      <c r="F775" s="26" t="str">
        <f t="shared" si="24"/>
        <v>42 : 16</v>
      </c>
      <c r="G775" s="14">
        <f t="shared" si="25"/>
        <v>1296</v>
      </c>
      <c r="H775" s="9">
        <v>3</v>
      </c>
      <c r="I775" s="9">
        <v>6</v>
      </c>
      <c r="J775" s="9" t="s">
        <v>39</v>
      </c>
      <c r="K775" s="9" t="s">
        <v>40</v>
      </c>
      <c r="L775" s="15">
        <v>-0.5</v>
      </c>
      <c r="M775" s="14">
        <v>-0.5</v>
      </c>
      <c r="AD775" s="14">
        <v>0</v>
      </c>
      <c r="AE775" s="14">
        <v>1</v>
      </c>
      <c r="AG775" s="14" t="s">
        <v>561</v>
      </c>
      <c r="AH775" s="14" t="s">
        <v>950</v>
      </c>
    </row>
    <row r="776" spans="1:34" s="14" customFormat="1" x14ac:dyDescent="0.25">
      <c r="A776" s="10" t="s">
        <v>944</v>
      </c>
      <c r="B776" s="10"/>
      <c r="C776" s="10">
        <v>0</v>
      </c>
      <c r="D776" s="11">
        <v>42198</v>
      </c>
      <c r="E776" s="12">
        <v>43494</v>
      </c>
      <c r="F776" s="26" t="str">
        <f t="shared" si="24"/>
        <v>42 : 16</v>
      </c>
      <c r="G776" s="14">
        <f t="shared" si="25"/>
        <v>1296</v>
      </c>
      <c r="H776" s="9">
        <v>3</v>
      </c>
      <c r="I776" s="9">
        <v>7</v>
      </c>
      <c r="J776" s="9" t="s">
        <v>39</v>
      </c>
      <c r="K776" s="9" t="s">
        <v>39</v>
      </c>
      <c r="L776" s="15">
        <v>0.5</v>
      </c>
      <c r="M776" s="14">
        <v>0.5</v>
      </c>
      <c r="AD776" s="14">
        <v>1</v>
      </c>
      <c r="AE776" s="14">
        <v>1</v>
      </c>
      <c r="AG776" s="14" t="s">
        <v>951</v>
      </c>
    </row>
    <row r="777" spans="1:34" s="14" customFormat="1" x14ac:dyDescent="0.25">
      <c r="A777" s="10" t="s">
        <v>944</v>
      </c>
      <c r="B777" s="10"/>
      <c r="C777" s="10">
        <v>0</v>
      </c>
      <c r="D777" s="11">
        <v>42198</v>
      </c>
      <c r="E777" s="12">
        <v>43494</v>
      </c>
      <c r="F777" s="26" t="str">
        <f t="shared" si="24"/>
        <v>42 : 16</v>
      </c>
      <c r="G777" s="14">
        <f t="shared" si="25"/>
        <v>1296</v>
      </c>
      <c r="H777" s="9">
        <v>3</v>
      </c>
      <c r="I777" s="9">
        <v>8</v>
      </c>
      <c r="J777" s="9" t="s">
        <v>35</v>
      </c>
      <c r="K777" s="9" t="s">
        <v>32</v>
      </c>
      <c r="L777" s="15">
        <v>0.5</v>
      </c>
      <c r="M777" s="14">
        <v>-0.5</v>
      </c>
      <c r="S777" s="14">
        <v>0</v>
      </c>
      <c r="X777" s="14">
        <v>1</v>
      </c>
      <c r="AA777" s="14">
        <v>1</v>
      </c>
      <c r="AF777" s="14" t="s">
        <v>952</v>
      </c>
      <c r="AG777" s="14" t="s">
        <v>953</v>
      </c>
    </row>
    <row r="778" spans="1:34" s="14" customFormat="1" x14ac:dyDescent="0.25">
      <c r="A778" s="10" t="s">
        <v>944</v>
      </c>
      <c r="B778" s="10"/>
      <c r="C778" s="10">
        <v>0</v>
      </c>
      <c r="D778" s="11">
        <v>42198</v>
      </c>
      <c r="E778" s="12">
        <v>43494</v>
      </c>
      <c r="F778" s="26" t="str">
        <f t="shared" si="24"/>
        <v>42 : 16</v>
      </c>
      <c r="G778" s="14">
        <f t="shared" si="25"/>
        <v>1296</v>
      </c>
      <c r="H778" s="9">
        <v>3</v>
      </c>
      <c r="I778" s="9">
        <v>9</v>
      </c>
      <c r="J778" s="9" t="s">
        <v>40</v>
      </c>
      <c r="K778" s="9" t="s">
        <v>30</v>
      </c>
      <c r="L778" s="15">
        <v>-0.5</v>
      </c>
      <c r="M778" s="14">
        <v>-0.5</v>
      </c>
      <c r="R778" s="14">
        <v>1</v>
      </c>
      <c r="S778" s="14">
        <v>0</v>
      </c>
      <c r="AD778" s="14">
        <v>0</v>
      </c>
      <c r="AE778" s="14">
        <v>1</v>
      </c>
      <c r="AF778" s="14" t="s">
        <v>954</v>
      </c>
      <c r="AG778" s="14" t="s">
        <v>955</v>
      </c>
    </row>
    <row r="779" spans="1:34" s="14" customFormat="1" x14ac:dyDescent="0.25">
      <c r="A779" s="10" t="s">
        <v>944</v>
      </c>
      <c r="B779" s="10"/>
      <c r="C779" s="10">
        <v>0</v>
      </c>
      <c r="D779" s="11">
        <v>42198</v>
      </c>
      <c r="E779" s="12">
        <v>43494</v>
      </c>
      <c r="F779" s="26" t="str">
        <f t="shared" si="24"/>
        <v>42 : 16</v>
      </c>
      <c r="G779" s="14">
        <f t="shared" si="25"/>
        <v>1296</v>
      </c>
      <c r="H779" s="9">
        <v>3</v>
      </c>
      <c r="I779" s="9">
        <v>10</v>
      </c>
      <c r="J779" s="9" t="s">
        <v>33</v>
      </c>
      <c r="K779" s="9" t="s">
        <v>33</v>
      </c>
      <c r="L779" s="15">
        <v>-0.5</v>
      </c>
      <c r="M779" s="14">
        <v>0.5</v>
      </c>
      <c r="AD779" s="14">
        <v>0</v>
      </c>
      <c r="AE779" s="14">
        <v>1</v>
      </c>
      <c r="AG779" s="14" t="s">
        <v>80</v>
      </c>
    </row>
    <row r="780" spans="1:34" s="14" customFormat="1" x14ac:dyDescent="0.25">
      <c r="A780" s="10" t="s">
        <v>944</v>
      </c>
      <c r="B780" s="10"/>
      <c r="C780" s="10">
        <v>0</v>
      </c>
      <c r="D780" s="11">
        <v>42198</v>
      </c>
      <c r="E780" s="12">
        <v>43494</v>
      </c>
      <c r="F780" s="26" t="str">
        <f t="shared" si="24"/>
        <v>42 : 16</v>
      </c>
      <c r="G780" s="14">
        <f t="shared" si="25"/>
        <v>1296</v>
      </c>
      <c r="H780" s="9">
        <v>3</v>
      </c>
      <c r="I780" s="9">
        <v>11</v>
      </c>
      <c r="J780" s="9" t="s">
        <v>40</v>
      </c>
      <c r="K780" s="9" t="s">
        <v>40</v>
      </c>
      <c r="L780" s="15">
        <v>0.5</v>
      </c>
      <c r="M780" s="14">
        <v>0.5</v>
      </c>
      <c r="AD780" s="14">
        <v>1</v>
      </c>
      <c r="AE780" s="14">
        <v>1</v>
      </c>
      <c r="AG780" s="14" t="s">
        <v>956</v>
      </c>
    </row>
    <row r="781" spans="1:34" s="14" customFormat="1" x14ac:dyDescent="0.25">
      <c r="A781" s="10" t="s">
        <v>944</v>
      </c>
      <c r="B781" s="10"/>
      <c r="C781" s="10">
        <v>0</v>
      </c>
      <c r="D781" s="11">
        <v>42198</v>
      </c>
      <c r="E781" s="12">
        <v>43494</v>
      </c>
      <c r="F781" s="26" t="str">
        <f t="shared" si="24"/>
        <v>42 : 16</v>
      </c>
      <c r="G781" s="14">
        <f t="shared" si="25"/>
        <v>1296</v>
      </c>
      <c r="H781" s="9">
        <v>3</v>
      </c>
      <c r="I781" s="9">
        <v>12</v>
      </c>
      <c r="J781" s="9" t="s">
        <v>30</v>
      </c>
      <c r="K781" s="9" t="s">
        <v>39</v>
      </c>
      <c r="L781" s="15">
        <v>-0.5</v>
      </c>
      <c r="M781" s="14">
        <v>-0.5</v>
      </c>
      <c r="AD781" s="14">
        <v>1</v>
      </c>
      <c r="AE781" s="14">
        <v>0</v>
      </c>
      <c r="AG781" s="14" t="s">
        <v>957</v>
      </c>
    </row>
    <row r="782" spans="1:34" s="14" customFormat="1" x14ac:dyDescent="0.25">
      <c r="A782" s="10" t="s">
        <v>958</v>
      </c>
      <c r="B782" s="10"/>
      <c r="C782" s="10">
        <v>0</v>
      </c>
      <c r="D782" s="11">
        <v>42207</v>
      </c>
      <c r="E782" s="12">
        <v>43503</v>
      </c>
      <c r="F782" s="26" t="str">
        <f t="shared" si="24"/>
        <v>42 : 16</v>
      </c>
      <c r="G782" s="14">
        <f t="shared" si="25"/>
        <v>1296</v>
      </c>
      <c r="H782" s="9">
        <v>7</v>
      </c>
      <c r="I782" s="9">
        <v>6</v>
      </c>
      <c r="J782" s="9" t="s">
        <v>39</v>
      </c>
      <c r="K782" s="9" t="s">
        <v>40</v>
      </c>
      <c r="L782" s="20">
        <v>-0.5</v>
      </c>
      <c r="M782" s="14">
        <v>-0.5</v>
      </c>
      <c r="AA782" s="14">
        <v>1</v>
      </c>
      <c r="AD782" s="13"/>
      <c r="AE782" s="13"/>
      <c r="AF782" s="14" t="s">
        <v>959</v>
      </c>
      <c r="AG782" s="14" t="s">
        <v>960</v>
      </c>
    </row>
    <row r="783" spans="1:34" s="14" customFormat="1" x14ac:dyDescent="0.25">
      <c r="A783" s="10" t="s">
        <v>958</v>
      </c>
      <c r="B783" s="10"/>
      <c r="C783" s="10">
        <v>0</v>
      </c>
      <c r="D783" s="11">
        <v>42207</v>
      </c>
      <c r="E783" s="12">
        <v>43503</v>
      </c>
      <c r="F783" s="26" t="str">
        <f t="shared" si="24"/>
        <v>42 : 16</v>
      </c>
      <c r="G783" s="14">
        <f t="shared" si="25"/>
        <v>1296</v>
      </c>
      <c r="H783" s="9">
        <v>7</v>
      </c>
      <c r="I783" s="9">
        <v>5</v>
      </c>
      <c r="J783" s="9" t="s">
        <v>33</v>
      </c>
      <c r="K783" s="9" t="s">
        <v>35</v>
      </c>
      <c r="L783" s="20">
        <v>0.5</v>
      </c>
      <c r="M783" s="14">
        <v>-0.5</v>
      </c>
      <c r="R783" s="14">
        <v>1</v>
      </c>
      <c r="Y783" s="14">
        <v>1</v>
      </c>
      <c r="AD783" s="14">
        <v>0</v>
      </c>
      <c r="AE783" s="14">
        <v>0</v>
      </c>
      <c r="AF783" s="14" t="s">
        <v>961</v>
      </c>
      <c r="AG783" s="14" t="s">
        <v>84</v>
      </c>
    </row>
    <row r="784" spans="1:34" s="14" customFormat="1" x14ac:dyDescent="0.25">
      <c r="A784" s="10" t="s">
        <v>958</v>
      </c>
      <c r="B784" s="10"/>
      <c r="C784" s="10">
        <v>0</v>
      </c>
      <c r="D784" s="11">
        <v>42207</v>
      </c>
      <c r="E784" s="12">
        <v>43503</v>
      </c>
      <c r="F784" s="26" t="str">
        <f t="shared" si="24"/>
        <v>42 : 16</v>
      </c>
      <c r="G784" s="14">
        <f t="shared" si="25"/>
        <v>1296</v>
      </c>
      <c r="H784" s="9">
        <v>7</v>
      </c>
      <c r="I784" s="9">
        <v>4</v>
      </c>
      <c r="J784" s="9" t="s">
        <v>32</v>
      </c>
      <c r="K784" s="9" t="s">
        <v>32</v>
      </c>
      <c r="L784" s="20">
        <v>-0.5</v>
      </c>
      <c r="M784" s="14">
        <v>0.5</v>
      </c>
      <c r="AD784" s="14">
        <v>0</v>
      </c>
      <c r="AE784" s="14">
        <v>1</v>
      </c>
      <c r="AG784" s="14" t="s">
        <v>305</v>
      </c>
    </row>
    <row r="785" spans="1:33" s="14" customFormat="1" x14ac:dyDescent="0.25">
      <c r="A785" s="10" t="s">
        <v>958</v>
      </c>
      <c r="B785" s="10"/>
      <c r="C785" s="10">
        <v>0</v>
      </c>
      <c r="D785" s="11">
        <v>42207</v>
      </c>
      <c r="E785" s="12">
        <v>43503</v>
      </c>
      <c r="F785" s="26" t="str">
        <f t="shared" si="24"/>
        <v>42 : 16</v>
      </c>
      <c r="G785" s="14">
        <f t="shared" si="25"/>
        <v>1296</v>
      </c>
      <c r="H785" s="9">
        <v>7</v>
      </c>
      <c r="I785" s="9">
        <v>3</v>
      </c>
      <c r="J785" s="9" t="s">
        <v>35</v>
      </c>
      <c r="K785" s="9" t="s">
        <v>35</v>
      </c>
      <c r="L785" s="20">
        <v>-0.5</v>
      </c>
      <c r="M785" s="14">
        <v>0.5</v>
      </c>
      <c r="AD785" s="14">
        <v>0</v>
      </c>
      <c r="AE785" s="14">
        <v>1</v>
      </c>
      <c r="AG785" s="14" t="s">
        <v>45</v>
      </c>
    </row>
    <row r="786" spans="1:33" s="14" customFormat="1" x14ac:dyDescent="0.25">
      <c r="A786" s="10" t="s">
        <v>958</v>
      </c>
      <c r="B786" s="10"/>
      <c r="C786" s="10">
        <v>0</v>
      </c>
      <c r="D786" s="11">
        <v>42207</v>
      </c>
      <c r="E786" s="12">
        <v>43503</v>
      </c>
      <c r="F786" s="26" t="str">
        <f t="shared" si="24"/>
        <v>42 : 16</v>
      </c>
      <c r="G786" s="14">
        <f t="shared" si="25"/>
        <v>1296</v>
      </c>
      <c r="H786" s="9">
        <v>7</v>
      </c>
      <c r="I786" s="9">
        <v>2</v>
      </c>
      <c r="J786" s="9" t="s">
        <v>32</v>
      </c>
      <c r="K786" s="9" t="s">
        <v>33</v>
      </c>
      <c r="L786" s="20">
        <v>0.5</v>
      </c>
      <c r="M786" s="14">
        <v>-0.5</v>
      </c>
      <c r="AD786" s="14">
        <v>0</v>
      </c>
      <c r="AE786" s="14">
        <v>0</v>
      </c>
      <c r="AG786" s="14" t="s">
        <v>962</v>
      </c>
    </row>
    <row r="787" spans="1:33" s="14" customFormat="1" x14ac:dyDescent="0.25">
      <c r="A787" s="10" t="s">
        <v>958</v>
      </c>
      <c r="B787" s="10"/>
      <c r="C787" s="10">
        <v>0</v>
      </c>
      <c r="D787" s="11">
        <v>42207</v>
      </c>
      <c r="E787" s="12">
        <v>43503</v>
      </c>
      <c r="F787" s="26" t="str">
        <f t="shared" si="24"/>
        <v>42 : 16</v>
      </c>
      <c r="G787" s="14">
        <f t="shared" si="25"/>
        <v>1296</v>
      </c>
      <c r="H787" s="9">
        <v>7</v>
      </c>
      <c r="I787" s="9">
        <v>1</v>
      </c>
      <c r="J787" s="9" t="s">
        <v>30</v>
      </c>
      <c r="K787" s="9" t="s">
        <v>30</v>
      </c>
      <c r="L787" s="20">
        <v>0.5</v>
      </c>
      <c r="M787" s="14">
        <v>0.5</v>
      </c>
      <c r="AD787" s="14">
        <v>0</v>
      </c>
      <c r="AE787" s="14">
        <v>0</v>
      </c>
      <c r="AG787" s="14" t="s">
        <v>53</v>
      </c>
    </row>
    <row r="788" spans="1:33" s="14" customFormat="1" x14ac:dyDescent="0.25">
      <c r="A788" s="10" t="s">
        <v>958</v>
      </c>
      <c r="B788" s="10"/>
      <c r="C788" s="10">
        <v>0</v>
      </c>
      <c r="D788" s="11">
        <v>42207</v>
      </c>
      <c r="E788" s="12">
        <v>43503</v>
      </c>
      <c r="F788" s="26" t="str">
        <f t="shared" si="24"/>
        <v>42 : 16</v>
      </c>
      <c r="G788" s="14">
        <f t="shared" si="25"/>
        <v>1296</v>
      </c>
      <c r="H788" s="9">
        <v>7</v>
      </c>
      <c r="I788" s="9">
        <v>12</v>
      </c>
      <c r="J788" s="9" t="s">
        <v>30</v>
      </c>
      <c r="K788" s="9" t="s">
        <v>39</v>
      </c>
      <c r="L788" s="20">
        <v>-0.5</v>
      </c>
      <c r="M788" s="14">
        <v>-0.5</v>
      </c>
      <c r="AD788" s="14">
        <v>0</v>
      </c>
      <c r="AE788" s="14">
        <v>1</v>
      </c>
      <c r="AG788" s="14" t="s">
        <v>93</v>
      </c>
    </row>
    <row r="789" spans="1:33" s="14" customFormat="1" x14ac:dyDescent="0.25">
      <c r="A789" s="10" t="s">
        <v>958</v>
      </c>
      <c r="B789" s="10"/>
      <c r="C789" s="10">
        <v>0</v>
      </c>
      <c r="D789" s="11">
        <v>42207</v>
      </c>
      <c r="E789" s="12">
        <v>43503</v>
      </c>
      <c r="F789" s="26" t="str">
        <f t="shared" si="24"/>
        <v>42 : 16</v>
      </c>
      <c r="G789" s="14">
        <f t="shared" si="25"/>
        <v>1296</v>
      </c>
      <c r="H789" s="9">
        <v>7</v>
      </c>
      <c r="I789" s="9">
        <v>11</v>
      </c>
      <c r="J789" s="9" t="s">
        <v>40</v>
      </c>
      <c r="K789" s="9" t="s">
        <v>40</v>
      </c>
      <c r="L789" s="20">
        <v>0.5</v>
      </c>
      <c r="M789" s="14">
        <v>0.5</v>
      </c>
      <c r="AD789" s="14">
        <v>0</v>
      </c>
      <c r="AE789" s="14">
        <v>0</v>
      </c>
      <c r="AG789" s="14" t="s">
        <v>138</v>
      </c>
    </row>
    <row r="790" spans="1:33" s="14" customFormat="1" x14ac:dyDescent="0.25">
      <c r="A790" s="10" t="s">
        <v>958</v>
      </c>
      <c r="B790" s="10"/>
      <c r="C790" s="10">
        <v>0</v>
      </c>
      <c r="D790" s="11">
        <v>42207</v>
      </c>
      <c r="E790" s="12">
        <v>43503</v>
      </c>
      <c r="F790" s="26" t="str">
        <f t="shared" si="24"/>
        <v>42 : 16</v>
      </c>
      <c r="G790" s="14">
        <f t="shared" si="25"/>
        <v>1296</v>
      </c>
      <c r="H790" s="9">
        <v>7</v>
      </c>
      <c r="I790" s="9">
        <v>10</v>
      </c>
      <c r="J790" s="9" t="s">
        <v>33</v>
      </c>
      <c r="K790" s="9" t="s">
        <v>33</v>
      </c>
      <c r="L790" s="20">
        <v>-0.5</v>
      </c>
      <c r="M790" s="14">
        <v>0.5</v>
      </c>
      <c r="AD790" s="14">
        <v>0</v>
      </c>
      <c r="AE790" s="14">
        <v>1</v>
      </c>
      <c r="AG790" s="14" t="s">
        <v>45</v>
      </c>
    </row>
    <row r="791" spans="1:33" s="14" customFormat="1" x14ac:dyDescent="0.25">
      <c r="A791" s="10" t="s">
        <v>958</v>
      </c>
      <c r="B791" s="10"/>
      <c r="C791" s="10">
        <v>0</v>
      </c>
      <c r="D791" s="11">
        <v>42207</v>
      </c>
      <c r="E791" s="12">
        <v>43503</v>
      </c>
      <c r="F791" s="26" t="str">
        <f t="shared" si="24"/>
        <v>42 : 16</v>
      </c>
      <c r="G791" s="14">
        <f t="shared" si="25"/>
        <v>1296</v>
      </c>
      <c r="H791" s="9">
        <v>7</v>
      </c>
      <c r="I791" s="9">
        <v>9</v>
      </c>
      <c r="J791" s="9" t="s">
        <v>40</v>
      </c>
      <c r="K791" s="9" t="s">
        <v>30</v>
      </c>
      <c r="L791" s="20">
        <v>-0.5</v>
      </c>
      <c r="M791" s="14">
        <v>-0.5</v>
      </c>
      <c r="AD791" s="14">
        <v>0</v>
      </c>
      <c r="AE791" s="14">
        <v>1</v>
      </c>
      <c r="AG791" s="14" t="s">
        <v>90</v>
      </c>
    </row>
    <row r="792" spans="1:33" s="14" customFormat="1" x14ac:dyDescent="0.25">
      <c r="A792" s="10" t="s">
        <v>958</v>
      </c>
      <c r="B792" s="10"/>
      <c r="C792" s="10">
        <v>0</v>
      </c>
      <c r="D792" s="11">
        <v>42207</v>
      </c>
      <c r="E792" s="12">
        <v>43503</v>
      </c>
      <c r="F792" s="26" t="str">
        <f t="shared" si="24"/>
        <v>42 : 16</v>
      </c>
      <c r="G792" s="14">
        <f t="shared" si="25"/>
        <v>1296</v>
      </c>
      <c r="H792" s="9">
        <v>7</v>
      </c>
      <c r="I792" s="9">
        <v>8</v>
      </c>
      <c r="J792" s="9" t="s">
        <v>35</v>
      </c>
      <c r="K792" s="9" t="s">
        <v>32</v>
      </c>
      <c r="L792" s="20">
        <v>0.5</v>
      </c>
      <c r="M792" s="14">
        <v>-0.5</v>
      </c>
      <c r="S792" s="14">
        <v>0</v>
      </c>
      <c r="AD792" s="14">
        <v>0</v>
      </c>
      <c r="AE792" s="14">
        <v>0</v>
      </c>
      <c r="AF792" s="14" t="s">
        <v>963</v>
      </c>
      <c r="AG792" s="14" t="s">
        <v>964</v>
      </c>
    </row>
    <row r="793" spans="1:33" s="14" customFormat="1" x14ac:dyDescent="0.25">
      <c r="A793" s="10" t="s">
        <v>958</v>
      </c>
      <c r="B793" s="10"/>
      <c r="C793" s="10">
        <v>0</v>
      </c>
      <c r="D793" s="11">
        <v>42207</v>
      </c>
      <c r="E793" s="12">
        <v>43503</v>
      </c>
      <c r="F793" s="26" t="str">
        <f t="shared" si="24"/>
        <v>42 : 16</v>
      </c>
      <c r="G793" s="14">
        <f t="shared" si="25"/>
        <v>1296</v>
      </c>
      <c r="H793" s="9">
        <v>7</v>
      </c>
      <c r="I793" s="9">
        <v>7</v>
      </c>
      <c r="J793" s="9" t="s">
        <v>39</v>
      </c>
      <c r="K793" s="9" t="s">
        <v>39</v>
      </c>
      <c r="L793" s="20">
        <v>0.5</v>
      </c>
      <c r="M793" s="14">
        <v>0.5</v>
      </c>
      <c r="AD793" s="14">
        <v>0</v>
      </c>
      <c r="AE793" s="14">
        <v>0</v>
      </c>
      <c r="AG793" s="14" t="s">
        <v>313</v>
      </c>
    </row>
    <row r="794" spans="1:33" s="14" customFormat="1" x14ac:dyDescent="0.25">
      <c r="A794" s="10" t="s">
        <v>965</v>
      </c>
      <c r="B794" s="10"/>
      <c r="C794" s="10">
        <v>1</v>
      </c>
      <c r="D794" s="11">
        <v>42202</v>
      </c>
      <c r="E794" s="12">
        <v>43494</v>
      </c>
      <c r="F794" s="26" t="str">
        <f t="shared" si="24"/>
        <v>42 : 12</v>
      </c>
      <c r="G794" s="14">
        <f t="shared" si="25"/>
        <v>1292</v>
      </c>
      <c r="H794" s="22">
        <v>2</v>
      </c>
      <c r="I794" s="9" t="s">
        <v>97</v>
      </c>
      <c r="J794" s="9" t="s">
        <v>30</v>
      </c>
      <c r="K794" s="9" t="s">
        <v>30</v>
      </c>
      <c r="L794" s="20">
        <v>-0.5</v>
      </c>
      <c r="M794" s="14">
        <v>0.5</v>
      </c>
      <c r="AD794" s="14">
        <v>0</v>
      </c>
      <c r="AE794" s="14">
        <v>1</v>
      </c>
      <c r="AG794" s="14" t="s">
        <v>966</v>
      </c>
    </row>
    <row r="795" spans="1:33" s="14" customFormat="1" x14ac:dyDescent="0.25">
      <c r="A795" s="10" t="s">
        <v>965</v>
      </c>
      <c r="B795" s="10"/>
      <c r="C795" s="10">
        <v>1</v>
      </c>
      <c r="D795" s="11">
        <v>42202</v>
      </c>
      <c r="E795" s="12">
        <v>43494</v>
      </c>
      <c r="F795" s="26" t="str">
        <f t="shared" si="24"/>
        <v>42 : 12</v>
      </c>
      <c r="G795" s="14">
        <f t="shared" si="25"/>
        <v>1292</v>
      </c>
      <c r="H795" s="22">
        <v>2</v>
      </c>
      <c r="I795" s="9" t="s">
        <v>148</v>
      </c>
      <c r="J795" s="9" t="s">
        <v>33</v>
      </c>
      <c r="K795" s="9" t="s">
        <v>32</v>
      </c>
      <c r="L795" s="20">
        <v>-0.5</v>
      </c>
      <c r="M795" s="14">
        <v>-0.5</v>
      </c>
      <c r="AD795" s="14">
        <v>0</v>
      </c>
      <c r="AE795" s="14">
        <v>1</v>
      </c>
      <c r="AG795" s="14" t="s">
        <v>274</v>
      </c>
    </row>
    <row r="796" spans="1:33" s="14" customFormat="1" x14ac:dyDescent="0.25">
      <c r="A796" s="10" t="s">
        <v>965</v>
      </c>
      <c r="B796" s="10"/>
      <c r="C796" s="10">
        <v>1</v>
      </c>
      <c r="D796" s="11">
        <v>42202</v>
      </c>
      <c r="E796" s="12">
        <v>43494</v>
      </c>
      <c r="F796" s="26" t="str">
        <f t="shared" si="24"/>
        <v>42 : 12</v>
      </c>
      <c r="G796" s="14">
        <f t="shared" si="25"/>
        <v>1292</v>
      </c>
      <c r="H796" s="22">
        <v>2</v>
      </c>
      <c r="I796" s="9" t="s">
        <v>147</v>
      </c>
      <c r="J796" s="9" t="s">
        <v>35</v>
      </c>
      <c r="K796" s="9" t="s">
        <v>35</v>
      </c>
      <c r="L796" s="20">
        <v>0.5</v>
      </c>
      <c r="M796" s="14">
        <v>0.5</v>
      </c>
      <c r="AD796" s="14">
        <v>0</v>
      </c>
      <c r="AE796" s="14">
        <v>0</v>
      </c>
      <c r="AG796" s="14" t="s">
        <v>560</v>
      </c>
    </row>
    <row r="797" spans="1:33" s="14" customFormat="1" x14ac:dyDescent="0.25">
      <c r="A797" s="10" t="s">
        <v>965</v>
      </c>
      <c r="B797" s="10"/>
      <c r="C797" s="10">
        <v>1</v>
      </c>
      <c r="D797" s="11">
        <v>42202</v>
      </c>
      <c r="E797" s="12">
        <v>43494</v>
      </c>
      <c r="F797" s="26" t="str">
        <f t="shared" si="24"/>
        <v>42 : 12</v>
      </c>
      <c r="G797" s="14">
        <f t="shared" si="25"/>
        <v>1292</v>
      </c>
      <c r="H797" s="22">
        <v>2</v>
      </c>
      <c r="I797" s="9" t="s">
        <v>146</v>
      </c>
      <c r="J797" s="9" t="s">
        <v>32</v>
      </c>
      <c r="K797" s="9" t="s">
        <v>32</v>
      </c>
      <c r="L797" s="20">
        <v>0.5</v>
      </c>
      <c r="M797" s="14">
        <v>0.5</v>
      </c>
      <c r="AD797" s="14">
        <v>1</v>
      </c>
      <c r="AE797" s="14">
        <v>1</v>
      </c>
      <c r="AG797" s="14" t="s">
        <v>317</v>
      </c>
    </row>
    <row r="798" spans="1:33" s="14" customFormat="1" x14ac:dyDescent="0.25">
      <c r="A798" s="10" t="s">
        <v>965</v>
      </c>
      <c r="B798" s="10"/>
      <c r="C798" s="10">
        <v>1</v>
      </c>
      <c r="D798" s="11">
        <v>42202</v>
      </c>
      <c r="E798" s="12">
        <v>43494</v>
      </c>
      <c r="F798" s="26" t="str">
        <f t="shared" si="24"/>
        <v>42 : 12</v>
      </c>
      <c r="G798" s="14">
        <f t="shared" si="25"/>
        <v>1292</v>
      </c>
      <c r="H798" s="22">
        <v>2</v>
      </c>
      <c r="I798" s="9" t="s">
        <v>145</v>
      </c>
      <c r="J798" s="9" t="s">
        <v>35</v>
      </c>
      <c r="K798" s="9" t="s">
        <v>33</v>
      </c>
      <c r="L798" s="20">
        <v>-0.5</v>
      </c>
      <c r="M798" s="14">
        <v>-0.5</v>
      </c>
      <c r="S798" s="14">
        <v>0</v>
      </c>
      <c r="V798" s="14" t="s">
        <v>197</v>
      </c>
      <c r="W798" s="14">
        <v>1</v>
      </c>
      <c r="Y798" s="14">
        <v>1</v>
      </c>
      <c r="AD798" s="14">
        <v>0</v>
      </c>
      <c r="AE798" s="14">
        <v>1</v>
      </c>
      <c r="AF798" s="14" t="s">
        <v>967</v>
      </c>
      <c r="AG798" s="14" t="s">
        <v>968</v>
      </c>
    </row>
    <row r="799" spans="1:33" s="14" customFormat="1" x14ac:dyDescent="0.25">
      <c r="A799" s="10" t="s">
        <v>965</v>
      </c>
      <c r="B799" s="10"/>
      <c r="C799" s="10">
        <v>1</v>
      </c>
      <c r="D799" s="11">
        <v>42202</v>
      </c>
      <c r="E799" s="12">
        <v>43494</v>
      </c>
      <c r="F799" s="26" t="str">
        <f t="shared" si="24"/>
        <v>42 : 12</v>
      </c>
      <c r="G799" s="14">
        <f t="shared" si="25"/>
        <v>1292</v>
      </c>
      <c r="H799" s="22">
        <v>2</v>
      </c>
      <c r="I799" s="9" t="s">
        <v>143</v>
      </c>
      <c r="J799" s="9" t="s">
        <v>40</v>
      </c>
      <c r="K799" s="9" t="s">
        <v>39</v>
      </c>
      <c r="L799" s="20">
        <v>0.5</v>
      </c>
      <c r="M799" s="14">
        <v>-0.5</v>
      </c>
      <c r="X799" s="14">
        <v>1</v>
      </c>
      <c r="AA799" s="14">
        <v>1</v>
      </c>
      <c r="AF799" s="14" t="s">
        <v>969</v>
      </c>
      <c r="AG799" s="14" t="s">
        <v>970</v>
      </c>
    </row>
    <row r="800" spans="1:33" s="14" customFormat="1" x14ac:dyDescent="0.25">
      <c r="A800" s="10" t="s">
        <v>965</v>
      </c>
      <c r="B800" s="10"/>
      <c r="C800" s="10">
        <v>1</v>
      </c>
      <c r="D800" s="11">
        <v>42202</v>
      </c>
      <c r="E800" s="12">
        <v>43494</v>
      </c>
      <c r="F800" s="26" t="str">
        <f t="shared" si="24"/>
        <v>42 : 12</v>
      </c>
      <c r="G800" s="14">
        <f t="shared" si="25"/>
        <v>1292</v>
      </c>
      <c r="H800" s="22">
        <v>2</v>
      </c>
      <c r="I800" s="9" t="s">
        <v>158</v>
      </c>
      <c r="J800" s="9" t="s">
        <v>39</v>
      </c>
      <c r="K800" s="9" t="s">
        <v>39</v>
      </c>
      <c r="L800" s="20">
        <v>-0.5</v>
      </c>
      <c r="M800" s="14">
        <v>0.5</v>
      </c>
      <c r="AD800" s="14">
        <v>1</v>
      </c>
      <c r="AE800" s="14">
        <v>0</v>
      </c>
      <c r="AG800" s="14" t="s">
        <v>971</v>
      </c>
    </row>
    <row r="801" spans="1:34" s="14" customFormat="1" x14ac:dyDescent="0.25">
      <c r="A801" s="10" t="s">
        <v>965</v>
      </c>
      <c r="B801" s="10"/>
      <c r="C801" s="10">
        <v>1</v>
      </c>
      <c r="D801" s="11">
        <v>42202</v>
      </c>
      <c r="E801" s="12">
        <v>43494</v>
      </c>
      <c r="F801" s="26" t="str">
        <f t="shared" si="24"/>
        <v>42 : 12</v>
      </c>
      <c r="G801" s="14">
        <f t="shared" si="25"/>
        <v>1292</v>
      </c>
      <c r="H801" s="22">
        <v>2</v>
      </c>
      <c r="I801" s="9" t="s">
        <v>157</v>
      </c>
      <c r="J801" s="9" t="s">
        <v>32</v>
      </c>
      <c r="K801" s="9" t="s">
        <v>35</v>
      </c>
      <c r="L801" s="20">
        <v>-0.5</v>
      </c>
      <c r="M801" s="14">
        <v>-0.5</v>
      </c>
      <c r="R801" s="14">
        <v>1</v>
      </c>
      <c r="S801" s="14">
        <v>1</v>
      </c>
      <c r="T801" s="14">
        <v>1</v>
      </c>
      <c r="Y801" s="14">
        <v>1</v>
      </c>
      <c r="AD801" s="14">
        <v>1</v>
      </c>
      <c r="AE801" s="14">
        <v>0</v>
      </c>
      <c r="AF801" s="14" t="s">
        <v>972</v>
      </c>
      <c r="AG801" s="14" t="s">
        <v>973</v>
      </c>
      <c r="AH801" s="14" t="s">
        <v>974</v>
      </c>
    </row>
    <row r="802" spans="1:34" s="14" customFormat="1" x14ac:dyDescent="0.25">
      <c r="A802" s="10" t="s">
        <v>965</v>
      </c>
      <c r="B802" s="10"/>
      <c r="C802" s="10">
        <v>1</v>
      </c>
      <c r="D802" s="11">
        <v>42202</v>
      </c>
      <c r="E802" s="12">
        <v>43494</v>
      </c>
      <c r="F802" s="26" t="str">
        <f t="shared" si="24"/>
        <v>42 : 12</v>
      </c>
      <c r="G802" s="14">
        <f t="shared" si="25"/>
        <v>1292</v>
      </c>
      <c r="H802" s="22">
        <v>2</v>
      </c>
      <c r="I802" s="9" t="s">
        <v>156</v>
      </c>
      <c r="J802" s="9" t="s">
        <v>30</v>
      </c>
      <c r="K802" s="9" t="s">
        <v>40</v>
      </c>
      <c r="L802" s="20">
        <v>0.5</v>
      </c>
      <c r="M802" s="14">
        <v>-0.5</v>
      </c>
      <c r="Y802" s="14">
        <v>1</v>
      </c>
      <c r="AD802" s="14">
        <v>0</v>
      </c>
      <c r="AE802" s="14">
        <v>0</v>
      </c>
      <c r="AF802" s="14" t="s">
        <v>975</v>
      </c>
      <c r="AG802" s="14" t="s">
        <v>31</v>
      </c>
    </row>
    <row r="803" spans="1:34" s="14" customFormat="1" x14ac:dyDescent="0.25">
      <c r="A803" s="10" t="s">
        <v>965</v>
      </c>
      <c r="B803" s="10"/>
      <c r="C803" s="10">
        <v>1</v>
      </c>
      <c r="D803" s="11">
        <v>42202</v>
      </c>
      <c r="E803" s="12">
        <v>43494</v>
      </c>
      <c r="F803" s="26" t="str">
        <f t="shared" si="24"/>
        <v>42 : 12</v>
      </c>
      <c r="G803" s="14">
        <f t="shared" si="25"/>
        <v>1292</v>
      </c>
      <c r="H803" s="22">
        <v>2</v>
      </c>
      <c r="I803" s="9" t="s">
        <v>155</v>
      </c>
      <c r="J803" s="9" t="s">
        <v>33</v>
      </c>
      <c r="K803" s="9" t="s">
        <v>33</v>
      </c>
      <c r="L803" s="20">
        <v>0.5</v>
      </c>
      <c r="M803" s="14">
        <v>0.5</v>
      </c>
      <c r="Y803" s="14">
        <v>1</v>
      </c>
      <c r="AD803" s="14">
        <v>0</v>
      </c>
      <c r="AE803" s="14">
        <v>0</v>
      </c>
      <c r="AF803" s="14" t="s">
        <v>976</v>
      </c>
      <c r="AG803" s="14" t="s">
        <v>123</v>
      </c>
    </row>
    <row r="804" spans="1:34" s="14" customFormat="1" x14ac:dyDescent="0.25">
      <c r="A804" s="10" t="s">
        <v>965</v>
      </c>
      <c r="B804" s="10"/>
      <c r="C804" s="10">
        <v>1</v>
      </c>
      <c r="D804" s="11">
        <v>42202</v>
      </c>
      <c r="E804" s="12">
        <v>43494</v>
      </c>
      <c r="F804" s="26" t="str">
        <f t="shared" si="24"/>
        <v>42 : 12</v>
      </c>
      <c r="G804" s="14">
        <f t="shared" si="25"/>
        <v>1292</v>
      </c>
      <c r="H804" s="22">
        <v>2</v>
      </c>
      <c r="I804" s="9" t="s">
        <v>154</v>
      </c>
      <c r="J804" s="9" t="s">
        <v>40</v>
      </c>
      <c r="K804" s="9" t="s">
        <v>40</v>
      </c>
      <c r="L804" s="20">
        <v>-0.5</v>
      </c>
      <c r="M804" s="14">
        <v>0.5</v>
      </c>
      <c r="Y804" s="14">
        <v>1</v>
      </c>
      <c r="AD804" s="14">
        <v>0</v>
      </c>
      <c r="AE804" s="14">
        <v>1</v>
      </c>
      <c r="AF804" s="14" t="s">
        <v>977</v>
      </c>
      <c r="AG804" s="14" t="s">
        <v>84</v>
      </c>
    </row>
    <row r="805" spans="1:34" s="14" customFormat="1" x14ac:dyDescent="0.25">
      <c r="A805" s="10" t="s">
        <v>965</v>
      </c>
      <c r="B805" s="10"/>
      <c r="C805" s="10">
        <v>1</v>
      </c>
      <c r="D805" s="11">
        <v>42202</v>
      </c>
      <c r="E805" s="12">
        <v>43494</v>
      </c>
      <c r="F805" s="26" t="str">
        <f t="shared" si="24"/>
        <v>42 : 12</v>
      </c>
      <c r="G805" s="14">
        <f t="shared" si="25"/>
        <v>1292</v>
      </c>
      <c r="H805" s="22">
        <v>2</v>
      </c>
      <c r="I805" s="9" t="s">
        <v>153</v>
      </c>
      <c r="J805" s="9" t="s">
        <v>39</v>
      </c>
      <c r="K805" s="9" t="s">
        <v>30</v>
      </c>
      <c r="L805" s="20">
        <v>0.5</v>
      </c>
      <c r="M805" s="14">
        <v>-0.5</v>
      </c>
      <c r="Y805" s="14">
        <v>1</v>
      </c>
      <c r="AD805" s="14">
        <v>0</v>
      </c>
      <c r="AE805" s="14">
        <v>0</v>
      </c>
      <c r="AF805" s="14" t="s">
        <v>978</v>
      </c>
      <c r="AG805" s="14" t="s">
        <v>573</v>
      </c>
      <c r="AH805" s="14" t="s">
        <v>979</v>
      </c>
    </row>
    <row r="806" spans="1:34" s="14" customFormat="1" x14ac:dyDescent="0.25">
      <c r="A806" s="10" t="s">
        <v>980</v>
      </c>
      <c r="B806" s="10"/>
      <c r="C806" s="10">
        <v>0</v>
      </c>
      <c r="D806" s="11">
        <v>42202</v>
      </c>
      <c r="E806" s="12">
        <v>43497</v>
      </c>
      <c r="F806" s="26" t="str">
        <f t="shared" si="24"/>
        <v>42 : 15</v>
      </c>
      <c r="G806" s="14">
        <f t="shared" si="25"/>
        <v>1295</v>
      </c>
      <c r="H806" s="22">
        <v>4</v>
      </c>
      <c r="I806" s="9" t="s">
        <v>97</v>
      </c>
      <c r="J806" s="9" t="s">
        <v>30</v>
      </c>
      <c r="K806" s="9" t="s">
        <v>30</v>
      </c>
      <c r="L806" s="20">
        <v>0.5</v>
      </c>
      <c r="M806" s="14">
        <v>0.5</v>
      </c>
      <c r="Y806" s="14">
        <v>1</v>
      </c>
      <c r="AD806" s="14">
        <v>0</v>
      </c>
      <c r="AE806" s="14">
        <v>0</v>
      </c>
      <c r="AF806" s="14" t="s">
        <v>981</v>
      </c>
      <c r="AG806" s="14" t="s">
        <v>274</v>
      </c>
    </row>
    <row r="807" spans="1:34" s="14" customFormat="1" x14ac:dyDescent="0.25">
      <c r="A807" s="10" t="s">
        <v>980</v>
      </c>
      <c r="B807" s="10"/>
      <c r="C807" s="10">
        <v>0</v>
      </c>
      <c r="D807" s="11">
        <v>42202</v>
      </c>
      <c r="E807" s="12">
        <v>43497</v>
      </c>
      <c r="F807" s="26" t="str">
        <f t="shared" si="24"/>
        <v>42 : 15</v>
      </c>
      <c r="G807" s="14">
        <f t="shared" si="25"/>
        <v>1295</v>
      </c>
      <c r="H807" s="22">
        <v>4</v>
      </c>
      <c r="I807" s="9" t="s">
        <v>99</v>
      </c>
      <c r="J807" s="9" t="s">
        <v>33</v>
      </c>
      <c r="K807" s="9" t="s">
        <v>32</v>
      </c>
      <c r="L807" s="20">
        <v>0.5</v>
      </c>
      <c r="M807" s="14">
        <v>-0.5</v>
      </c>
      <c r="V807" s="14" t="s">
        <v>261</v>
      </c>
      <c r="W807" s="14">
        <v>1</v>
      </c>
      <c r="Y807" s="14">
        <v>1</v>
      </c>
      <c r="AA807" s="14">
        <v>1</v>
      </c>
      <c r="AF807" s="14" t="s">
        <v>982</v>
      </c>
      <c r="AG807" s="14" t="s">
        <v>983</v>
      </c>
    </row>
    <row r="808" spans="1:34" s="14" customFormat="1" x14ac:dyDescent="0.25">
      <c r="A808" s="10" t="s">
        <v>980</v>
      </c>
      <c r="B808" s="10"/>
      <c r="C808" s="10">
        <v>0</v>
      </c>
      <c r="D808" s="11">
        <v>42202</v>
      </c>
      <c r="E808" s="12">
        <v>43497</v>
      </c>
      <c r="F808" s="26" t="str">
        <f t="shared" si="24"/>
        <v>42 : 15</v>
      </c>
      <c r="G808" s="14">
        <f t="shared" si="25"/>
        <v>1295</v>
      </c>
      <c r="H808" s="22">
        <v>4</v>
      </c>
      <c r="I808" s="9" t="s">
        <v>103</v>
      </c>
      <c r="J808" s="9" t="s">
        <v>35</v>
      </c>
      <c r="K808" s="9" t="s">
        <v>35</v>
      </c>
      <c r="L808" s="20">
        <v>-0.5</v>
      </c>
      <c r="M808" s="14">
        <v>0.5</v>
      </c>
      <c r="R808" s="14">
        <v>1</v>
      </c>
      <c r="S808" s="14">
        <v>0</v>
      </c>
      <c r="Y808" s="14">
        <v>1</v>
      </c>
      <c r="AD808" s="14">
        <v>0</v>
      </c>
      <c r="AE808" s="14">
        <v>1</v>
      </c>
      <c r="AF808" s="14" t="s">
        <v>984</v>
      </c>
      <c r="AG808" s="14" t="s">
        <v>985</v>
      </c>
    </row>
    <row r="809" spans="1:34" s="14" customFormat="1" x14ac:dyDescent="0.25">
      <c r="A809" s="10" t="s">
        <v>980</v>
      </c>
      <c r="B809" s="10"/>
      <c r="C809" s="10">
        <v>0</v>
      </c>
      <c r="D809" s="11">
        <v>42202</v>
      </c>
      <c r="E809" s="12">
        <v>43497</v>
      </c>
      <c r="F809" s="26" t="str">
        <f t="shared" si="24"/>
        <v>42 : 15</v>
      </c>
      <c r="G809" s="14">
        <f t="shared" si="25"/>
        <v>1295</v>
      </c>
      <c r="H809" s="22">
        <v>4</v>
      </c>
      <c r="I809" s="9" t="s">
        <v>104</v>
      </c>
      <c r="J809" s="9" t="s">
        <v>32</v>
      </c>
      <c r="K809" s="9" t="s">
        <v>32</v>
      </c>
      <c r="L809" s="20">
        <v>-0.5</v>
      </c>
      <c r="M809" s="14">
        <v>0.5</v>
      </c>
      <c r="Y809" s="14">
        <v>1</v>
      </c>
      <c r="AD809" s="14">
        <v>0</v>
      </c>
      <c r="AE809" s="14">
        <v>1</v>
      </c>
      <c r="AF809" s="14" t="s">
        <v>986</v>
      </c>
      <c r="AG809" s="14" t="s">
        <v>50</v>
      </c>
    </row>
    <row r="810" spans="1:34" s="14" customFormat="1" x14ac:dyDescent="0.25">
      <c r="A810" s="10" t="s">
        <v>980</v>
      </c>
      <c r="B810" s="10"/>
      <c r="C810" s="10">
        <v>0</v>
      </c>
      <c r="D810" s="11">
        <v>42202</v>
      </c>
      <c r="E810" s="12">
        <v>43497</v>
      </c>
      <c r="F810" s="26" t="str">
        <f t="shared" ref="F810:F873" si="26">DATEDIF(D810,E810,"M")&amp;" : "&amp;DATEDIF(D810,E810,"MD")</f>
        <v>42 : 15</v>
      </c>
      <c r="G810" s="14">
        <f t="shared" ref="G810:G873" si="27">DATEDIF(D810,E810,"D")</f>
        <v>1295</v>
      </c>
      <c r="H810" s="22">
        <v>4</v>
      </c>
      <c r="I810" s="9" t="s">
        <v>107</v>
      </c>
      <c r="J810" s="9" t="s">
        <v>35</v>
      </c>
      <c r="K810" s="9" t="s">
        <v>33</v>
      </c>
      <c r="L810" s="20">
        <v>0.5</v>
      </c>
      <c r="M810" s="14">
        <v>-0.5</v>
      </c>
      <c r="AD810" s="14">
        <v>0</v>
      </c>
      <c r="AE810" s="14">
        <v>0</v>
      </c>
      <c r="AF810" s="14" t="s">
        <v>987</v>
      </c>
      <c r="AG810" s="14" t="s">
        <v>988</v>
      </c>
    </row>
    <row r="811" spans="1:34" s="14" customFormat="1" x14ac:dyDescent="0.25">
      <c r="A811" s="10" t="s">
        <v>980</v>
      </c>
      <c r="B811" s="10"/>
      <c r="C811" s="10">
        <v>0</v>
      </c>
      <c r="D811" s="11">
        <v>42202</v>
      </c>
      <c r="E811" s="12">
        <v>43497</v>
      </c>
      <c r="F811" s="26" t="str">
        <f t="shared" si="26"/>
        <v>42 : 15</v>
      </c>
      <c r="G811" s="14">
        <f t="shared" si="27"/>
        <v>1295</v>
      </c>
      <c r="H811" s="22">
        <v>4</v>
      </c>
      <c r="I811" s="9" t="s">
        <v>110</v>
      </c>
      <c r="J811" s="9" t="s">
        <v>40</v>
      </c>
      <c r="K811" s="9" t="s">
        <v>39</v>
      </c>
      <c r="L811" s="20">
        <v>-0.5</v>
      </c>
      <c r="M811" s="14">
        <v>-0.5</v>
      </c>
      <c r="Y811" s="14">
        <v>1</v>
      </c>
      <c r="AD811" s="14">
        <v>0</v>
      </c>
      <c r="AE811" s="14">
        <v>1</v>
      </c>
      <c r="AF811" s="14" t="s">
        <v>989</v>
      </c>
      <c r="AG811" s="14" t="s">
        <v>354</v>
      </c>
    </row>
    <row r="812" spans="1:34" s="14" customFormat="1" x14ac:dyDescent="0.25">
      <c r="A812" s="10" t="s">
        <v>980</v>
      </c>
      <c r="B812" s="10"/>
      <c r="C812" s="10">
        <v>0</v>
      </c>
      <c r="D812" s="11">
        <v>42202</v>
      </c>
      <c r="E812" s="12">
        <v>43497</v>
      </c>
      <c r="F812" s="26" t="str">
        <f t="shared" si="26"/>
        <v>42 : 15</v>
      </c>
      <c r="G812" s="14">
        <f t="shared" si="27"/>
        <v>1295</v>
      </c>
      <c r="H812" s="22">
        <v>4</v>
      </c>
      <c r="I812" s="9" t="s">
        <v>113</v>
      </c>
      <c r="J812" s="9" t="s">
        <v>39</v>
      </c>
      <c r="K812" s="9" t="s">
        <v>39</v>
      </c>
      <c r="L812" s="20">
        <v>0.5</v>
      </c>
      <c r="M812" s="14">
        <v>0.5</v>
      </c>
      <c r="AD812" s="14">
        <v>1</v>
      </c>
      <c r="AE812" s="14">
        <v>1</v>
      </c>
      <c r="AF812" s="14" t="s">
        <v>990</v>
      </c>
      <c r="AG812" s="14" t="s">
        <v>971</v>
      </c>
    </row>
    <row r="813" spans="1:34" s="14" customFormat="1" x14ac:dyDescent="0.25">
      <c r="A813" s="10" t="s">
        <v>980</v>
      </c>
      <c r="B813" s="10"/>
      <c r="C813" s="10">
        <v>0</v>
      </c>
      <c r="D813" s="11">
        <v>42202</v>
      </c>
      <c r="E813" s="12">
        <v>43497</v>
      </c>
      <c r="F813" s="26" t="str">
        <f t="shared" si="26"/>
        <v>42 : 15</v>
      </c>
      <c r="G813" s="14">
        <f t="shared" si="27"/>
        <v>1295</v>
      </c>
      <c r="H813" s="22">
        <v>4</v>
      </c>
      <c r="I813" s="9" t="s">
        <v>115</v>
      </c>
      <c r="J813" s="9" t="s">
        <v>32</v>
      </c>
      <c r="K813" s="9" t="s">
        <v>35</v>
      </c>
      <c r="L813" s="20">
        <v>0.5</v>
      </c>
      <c r="M813" s="14">
        <v>-0.5</v>
      </c>
      <c r="V813" s="14" t="s">
        <v>261</v>
      </c>
      <c r="W813" s="14">
        <v>1</v>
      </c>
      <c r="Y813" s="14">
        <v>1</v>
      </c>
      <c r="AA813" s="14">
        <v>1</v>
      </c>
      <c r="AF813" s="14" t="s">
        <v>991</v>
      </c>
      <c r="AG813" s="14" t="s">
        <v>992</v>
      </c>
    </row>
    <row r="814" spans="1:34" s="14" customFormat="1" x14ac:dyDescent="0.25">
      <c r="A814" s="10" t="s">
        <v>980</v>
      </c>
      <c r="B814" s="10"/>
      <c r="C814" s="10">
        <v>0</v>
      </c>
      <c r="D814" s="11">
        <v>42202</v>
      </c>
      <c r="E814" s="12">
        <v>43497</v>
      </c>
      <c r="F814" s="26" t="str">
        <f t="shared" si="26"/>
        <v>42 : 15</v>
      </c>
      <c r="G814" s="14">
        <f t="shared" si="27"/>
        <v>1295</v>
      </c>
      <c r="H814" s="22">
        <v>4</v>
      </c>
      <c r="I814" s="9" t="s">
        <v>117</v>
      </c>
      <c r="J814" s="9" t="s">
        <v>30</v>
      </c>
      <c r="K814" s="9" t="s">
        <v>40</v>
      </c>
      <c r="L814" s="20">
        <v>-0.5</v>
      </c>
      <c r="M814" s="14">
        <v>-0.5</v>
      </c>
      <c r="Y814" s="14">
        <v>1</v>
      </c>
      <c r="AD814" s="14">
        <v>0</v>
      </c>
      <c r="AE814" s="14">
        <v>1</v>
      </c>
      <c r="AF814" s="14" t="s">
        <v>993</v>
      </c>
      <c r="AG814" s="14" t="s">
        <v>53</v>
      </c>
    </row>
    <row r="815" spans="1:34" s="14" customFormat="1" x14ac:dyDescent="0.25">
      <c r="A815" s="10" t="s">
        <v>980</v>
      </c>
      <c r="B815" s="10"/>
      <c r="C815" s="10">
        <v>0</v>
      </c>
      <c r="D815" s="11">
        <v>42202</v>
      </c>
      <c r="E815" s="12">
        <v>43497</v>
      </c>
      <c r="F815" s="26" t="str">
        <f t="shared" si="26"/>
        <v>42 : 15</v>
      </c>
      <c r="G815" s="14">
        <f t="shared" si="27"/>
        <v>1295</v>
      </c>
      <c r="H815" s="22">
        <v>4</v>
      </c>
      <c r="I815" s="9" t="s">
        <v>121</v>
      </c>
      <c r="J815" s="9" t="s">
        <v>33</v>
      </c>
      <c r="K815" s="9" t="s">
        <v>33</v>
      </c>
      <c r="L815" s="20">
        <v>-0.5</v>
      </c>
      <c r="M815" s="14">
        <v>0.5</v>
      </c>
      <c r="Y815" s="14">
        <v>1</v>
      </c>
      <c r="AD815" s="14">
        <v>0</v>
      </c>
      <c r="AE815" s="14">
        <v>1</v>
      </c>
      <c r="AF815" s="14" t="s">
        <v>994</v>
      </c>
      <c r="AG815" s="14" t="s">
        <v>515</v>
      </c>
    </row>
    <row r="816" spans="1:34" s="14" customFormat="1" x14ac:dyDescent="0.25">
      <c r="A816" s="10" t="s">
        <v>980</v>
      </c>
      <c r="B816" s="10"/>
      <c r="C816" s="10">
        <v>0</v>
      </c>
      <c r="D816" s="11">
        <v>42202</v>
      </c>
      <c r="E816" s="12">
        <v>43497</v>
      </c>
      <c r="F816" s="26" t="str">
        <f t="shared" si="26"/>
        <v>42 : 15</v>
      </c>
      <c r="G816" s="14">
        <f t="shared" si="27"/>
        <v>1295</v>
      </c>
      <c r="H816" s="22">
        <v>4</v>
      </c>
      <c r="I816" s="9" t="s">
        <v>124</v>
      </c>
      <c r="J816" s="9" t="s">
        <v>40</v>
      </c>
      <c r="K816" s="9" t="s">
        <v>40</v>
      </c>
      <c r="L816" s="20">
        <v>0.5</v>
      </c>
      <c r="M816" s="14">
        <v>0.5</v>
      </c>
      <c r="U816" s="14">
        <v>1</v>
      </c>
      <c r="Y816" s="14">
        <v>1</v>
      </c>
      <c r="AD816" s="14">
        <v>0</v>
      </c>
      <c r="AE816" s="14">
        <v>0</v>
      </c>
      <c r="AF816" s="14" t="s">
        <v>995</v>
      </c>
      <c r="AG816" s="14" t="s">
        <v>996</v>
      </c>
      <c r="AH816" s="14" t="s">
        <v>280</v>
      </c>
    </row>
    <row r="817" spans="1:33" s="14" customFormat="1" x14ac:dyDescent="0.25">
      <c r="A817" s="10" t="s">
        <v>980</v>
      </c>
      <c r="B817" s="10"/>
      <c r="C817" s="10">
        <v>0</v>
      </c>
      <c r="D817" s="11">
        <v>42202</v>
      </c>
      <c r="E817" s="12">
        <v>43497</v>
      </c>
      <c r="F817" s="26" t="str">
        <f t="shared" si="26"/>
        <v>42 : 15</v>
      </c>
      <c r="G817" s="14">
        <f t="shared" si="27"/>
        <v>1295</v>
      </c>
      <c r="H817" s="22">
        <v>4</v>
      </c>
      <c r="I817" s="9" t="s">
        <v>127</v>
      </c>
      <c r="J817" s="9" t="s">
        <v>39</v>
      </c>
      <c r="K817" s="9" t="s">
        <v>30</v>
      </c>
      <c r="L817" s="20">
        <v>-0.5</v>
      </c>
      <c r="M817" s="14">
        <v>-0.5</v>
      </c>
      <c r="Y817" s="14">
        <v>1</v>
      </c>
      <c r="AD817" s="14">
        <v>0</v>
      </c>
      <c r="AE817" s="14">
        <v>1</v>
      </c>
      <c r="AF817" s="14" t="s">
        <v>997</v>
      </c>
      <c r="AG817" s="14" t="s">
        <v>67</v>
      </c>
    </row>
    <row r="818" spans="1:33" s="14" customFormat="1" x14ac:dyDescent="0.25">
      <c r="A818" s="10" t="s">
        <v>998</v>
      </c>
      <c r="B818" s="10"/>
      <c r="C818" s="10">
        <v>0</v>
      </c>
      <c r="D818" s="11">
        <v>42221</v>
      </c>
      <c r="E818" s="12">
        <v>43497</v>
      </c>
      <c r="F818" s="26" t="str">
        <f t="shared" si="26"/>
        <v>41 : 27</v>
      </c>
      <c r="G818" s="14">
        <f t="shared" si="27"/>
        <v>1276</v>
      </c>
      <c r="H818" s="9">
        <v>1</v>
      </c>
      <c r="I818" s="9">
        <v>1</v>
      </c>
      <c r="J818" s="9" t="s">
        <v>30</v>
      </c>
      <c r="K818" s="9" t="s">
        <v>30</v>
      </c>
      <c r="L818" s="15">
        <v>-0.5</v>
      </c>
      <c r="M818" s="14">
        <v>0.5</v>
      </c>
      <c r="AA818" s="14">
        <v>1</v>
      </c>
      <c r="AD818" s="13"/>
      <c r="AE818" s="13"/>
      <c r="AF818" s="14" t="s">
        <v>999</v>
      </c>
      <c r="AG818" s="14" t="s">
        <v>173</v>
      </c>
    </row>
    <row r="819" spans="1:33" s="14" customFormat="1" x14ac:dyDescent="0.25">
      <c r="A819" s="10" t="s">
        <v>998</v>
      </c>
      <c r="B819" s="10"/>
      <c r="C819" s="10">
        <v>0</v>
      </c>
      <c r="D819" s="11">
        <v>42221</v>
      </c>
      <c r="E819" s="12">
        <v>43497</v>
      </c>
      <c r="F819" s="26" t="str">
        <f t="shared" si="26"/>
        <v>41 : 27</v>
      </c>
      <c r="G819" s="14">
        <f t="shared" si="27"/>
        <v>1276</v>
      </c>
      <c r="H819" s="9">
        <v>1</v>
      </c>
      <c r="I819" s="9">
        <v>2</v>
      </c>
      <c r="J819" s="9" t="s">
        <v>32</v>
      </c>
      <c r="K819" s="9" t="s">
        <v>33</v>
      </c>
      <c r="L819" s="15">
        <v>-0.5</v>
      </c>
      <c r="M819" s="14">
        <v>-0.5</v>
      </c>
      <c r="AD819" s="14">
        <v>0</v>
      </c>
      <c r="AE819" s="14">
        <v>1</v>
      </c>
      <c r="AF819" s="14" t="s">
        <v>1000</v>
      </c>
      <c r="AG819" s="14" t="s">
        <v>139</v>
      </c>
    </row>
    <row r="820" spans="1:33" s="14" customFormat="1" x14ac:dyDescent="0.25">
      <c r="A820" s="10" t="s">
        <v>998</v>
      </c>
      <c r="B820" s="10"/>
      <c r="C820" s="10">
        <v>0</v>
      </c>
      <c r="D820" s="11">
        <v>42221</v>
      </c>
      <c r="E820" s="12">
        <v>43497</v>
      </c>
      <c r="F820" s="26" t="str">
        <f t="shared" si="26"/>
        <v>41 : 27</v>
      </c>
      <c r="G820" s="14">
        <f t="shared" si="27"/>
        <v>1276</v>
      </c>
      <c r="H820" s="9">
        <v>1</v>
      </c>
      <c r="I820" s="9">
        <v>3</v>
      </c>
      <c r="J820" s="9" t="s">
        <v>35</v>
      </c>
      <c r="K820" s="9" t="s">
        <v>35</v>
      </c>
      <c r="L820" s="15">
        <v>0.5</v>
      </c>
      <c r="M820" s="14">
        <v>0.5</v>
      </c>
      <c r="AD820" s="14">
        <v>0</v>
      </c>
      <c r="AE820" s="14">
        <v>0</v>
      </c>
      <c r="AG820" s="14" t="s">
        <v>45</v>
      </c>
    </row>
    <row r="821" spans="1:33" s="14" customFormat="1" x14ac:dyDescent="0.25">
      <c r="A821" s="10" t="s">
        <v>998</v>
      </c>
      <c r="B821" s="10"/>
      <c r="C821" s="10">
        <v>0</v>
      </c>
      <c r="D821" s="11">
        <v>42221</v>
      </c>
      <c r="E821" s="12">
        <v>43497</v>
      </c>
      <c r="F821" s="26" t="str">
        <f t="shared" si="26"/>
        <v>41 : 27</v>
      </c>
      <c r="G821" s="14">
        <f t="shared" si="27"/>
        <v>1276</v>
      </c>
      <c r="H821" s="9">
        <v>1</v>
      </c>
      <c r="I821" s="9">
        <v>4</v>
      </c>
      <c r="J821" s="9" t="s">
        <v>32</v>
      </c>
      <c r="K821" s="9" t="s">
        <v>32</v>
      </c>
      <c r="L821" s="15">
        <v>0.5</v>
      </c>
      <c r="M821" s="14">
        <v>0.5</v>
      </c>
      <c r="AD821" s="14">
        <v>0</v>
      </c>
      <c r="AE821" s="14">
        <v>0</v>
      </c>
      <c r="AG821" s="14" t="s">
        <v>190</v>
      </c>
    </row>
    <row r="822" spans="1:33" s="14" customFormat="1" x14ac:dyDescent="0.25">
      <c r="A822" s="10" t="s">
        <v>998</v>
      </c>
      <c r="B822" s="10"/>
      <c r="C822" s="10">
        <v>0</v>
      </c>
      <c r="D822" s="11">
        <v>42221</v>
      </c>
      <c r="E822" s="12">
        <v>43497</v>
      </c>
      <c r="F822" s="26" t="str">
        <f t="shared" si="26"/>
        <v>41 : 27</v>
      </c>
      <c r="G822" s="14">
        <f t="shared" si="27"/>
        <v>1276</v>
      </c>
      <c r="H822" s="9">
        <v>1</v>
      </c>
      <c r="I822" s="9">
        <v>5</v>
      </c>
      <c r="J822" s="9" t="s">
        <v>33</v>
      </c>
      <c r="K822" s="9" t="s">
        <v>35</v>
      </c>
      <c r="L822" s="15">
        <v>-0.5</v>
      </c>
      <c r="M822" s="14">
        <v>-0.5</v>
      </c>
      <c r="AD822" s="14">
        <v>0</v>
      </c>
      <c r="AE822" s="14">
        <v>1</v>
      </c>
      <c r="AG822" s="14" t="s">
        <v>38</v>
      </c>
    </row>
    <row r="823" spans="1:33" s="14" customFormat="1" x14ac:dyDescent="0.25">
      <c r="A823" s="10" t="s">
        <v>998</v>
      </c>
      <c r="B823" s="10"/>
      <c r="C823" s="10">
        <v>0</v>
      </c>
      <c r="D823" s="11">
        <v>42221</v>
      </c>
      <c r="E823" s="12">
        <v>43497</v>
      </c>
      <c r="F823" s="26" t="str">
        <f t="shared" si="26"/>
        <v>41 : 27</v>
      </c>
      <c r="G823" s="14">
        <f t="shared" si="27"/>
        <v>1276</v>
      </c>
      <c r="H823" s="9">
        <v>1</v>
      </c>
      <c r="I823" s="9">
        <v>6</v>
      </c>
      <c r="J823" s="9" t="s">
        <v>39</v>
      </c>
      <c r="K823" s="9" t="s">
        <v>40</v>
      </c>
      <c r="L823" s="15">
        <v>0.5</v>
      </c>
      <c r="M823" s="14">
        <v>-0.5</v>
      </c>
      <c r="AA823" s="14">
        <v>1</v>
      </c>
      <c r="AF823" s="14" t="s">
        <v>1001</v>
      </c>
      <c r="AG823" s="14" t="s">
        <v>1002</v>
      </c>
    </row>
    <row r="824" spans="1:33" s="14" customFormat="1" x14ac:dyDescent="0.25">
      <c r="A824" s="10" t="s">
        <v>998</v>
      </c>
      <c r="B824" s="10"/>
      <c r="C824" s="10">
        <v>0</v>
      </c>
      <c r="D824" s="11">
        <v>42221</v>
      </c>
      <c r="E824" s="12">
        <v>43497</v>
      </c>
      <c r="F824" s="26" t="str">
        <f t="shared" si="26"/>
        <v>41 : 27</v>
      </c>
      <c r="G824" s="14">
        <f t="shared" si="27"/>
        <v>1276</v>
      </c>
      <c r="H824" s="9">
        <v>1</v>
      </c>
      <c r="I824" s="9">
        <v>7</v>
      </c>
      <c r="J824" s="9" t="s">
        <v>39</v>
      </c>
      <c r="K824" s="9" t="s">
        <v>39</v>
      </c>
      <c r="L824" s="15">
        <v>-0.5</v>
      </c>
      <c r="M824" s="14">
        <v>0.5</v>
      </c>
      <c r="Z824" s="14">
        <v>1</v>
      </c>
      <c r="AA824" s="14">
        <v>1</v>
      </c>
      <c r="AD824" s="13"/>
      <c r="AE824" s="13"/>
      <c r="AF824" s="14" t="s">
        <v>1003</v>
      </c>
      <c r="AG824" s="14" t="s">
        <v>444</v>
      </c>
    </row>
    <row r="825" spans="1:33" s="14" customFormat="1" x14ac:dyDescent="0.25">
      <c r="A825" s="10" t="s">
        <v>998</v>
      </c>
      <c r="B825" s="10"/>
      <c r="C825" s="10">
        <v>0</v>
      </c>
      <c r="D825" s="11">
        <v>42221</v>
      </c>
      <c r="E825" s="12">
        <v>43497</v>
      </c>
      <c r="F825" s="26" t="str">
        <f t="shared" si="26"/>
        <v>41 : 27</v>
      </c>
      <c r="G825" s="14">
        <f t="shared" si="27"/>
        <v>1276</v>
      </c>
      <c r="H825" s="9">
        <v>1</v>
      </c>
      <c r="I825" s="9">
        <v>8</v>
      </c>
      <c r="J825" s="9" t="s">
        <v>35</v>
      </c>
      <c r="K825" s="9" t="s">
        <v>32</v>
      </c>
      <c r="L825" s="15">
        <v>-0.5</v>
      </c>
      <c r="M825" s="14">
        <v>-0.5</v>
      </c>
      <c r="S825" s="14">
        <v>0</v>
      </c>
      <c r="Z825" s="14">
        <v>1</v>
      </c>
      <c r="AA825" s="14">
        <v>1</v>
      </c>
      <c r="AF825" s="14" t="s">
        <v>1004</v>
      </c>
      <c r="AG825" s="14" t="s">
        <v>1005</v>
      </c>
    </row>
    <row r="826" spans="1:33" s="14" customFormat="1" x14ac:dyDescent="0.25">
      <c r="A826" s="10" t="s">
        <v>998</v>
      </c>
      <c r="B826" s="10"/>
      <c r="C826" s="10">
        <v>0</v>
      </c>
      <c r="D826" s="11">
        <v>42221</v>
      </c>
      <c r="E826" s="12">
        <v>43497</v>
      </c>
      <c r="F826" s="26" t="str">
        <f t="shared" si="26"/>
        <v>41 : 27</v>
      </c>
      <c r="G826" s="14">
        <f t="shared" si="27"/>
        <v>1276</v>
      </c>
      <c r="H826" s="9">
        <v>1</v>
      </c>
      <c r="I826" s="9">
        <v>9</v>
      </c>
      <c r="J826" s="9" t="s">
        <v>40</v>
      </c>
      <c r="K826" s="9" t="s">
        <v>30</v>
      </c>
      <c r="L826" s="15">
        <v>0.5</v>
      </c>
      <c r="M826" s="14">
        <v>-0.5</v>
      </c>
      <c r="Z826" s="14">
        <v>1</v>
      </c>
      <c r="AA826" s="14">
        <v>1</v>
      </c>
      <c r="AF826" s="14" t="s">
        <v>1006</v>
      </c>
      <c r="AG826" s="14" t="s">
        <v>136</v>
      </c>
    </row>
    <row r="827" spans="1:33" s="14" customFormat="1" x14ac:dyDescent="0.25">
      <c r="A827" s="10" t="s">
        <v>998</v>
      </c>
      <c r="B827" s="10"/>
      <c r="C827" s="10">
        <v>0</v>
      </c>
      <c r="D827" s="11">
        <v>42221</v>
      </c>
      <c r="E827" s="12">
        <v>43497</v>
      </c>
      <c r="F827" s="26" t="str">
        <f t="shared" si="26"/>
        <v>41 : 27</v>
      </c>
      <c r="G827" s="14">
        <f t="shared" si="27"/>
        <v>1276</v>
      </c>
      <c r="H827" s="9">
        <v>1</v>
      </c>
      <c r="I827" s="9">
        <v>10</v>
      </c>
      <c r="J827" s="9" t="s">
        <v>33</v>
      </c>
      <c r="K827" s="9" t="s">
        <v>33</v>
      </c>
      <c r="L827" s="15">
        <v>0.5</v>
      </c>
      <c r="M827" s="14">
        <v>0.5</v>
      </c>
      <c r="Z827" s="14">
        <v>1</v>
      </c>
      <c r="AA827" s="14">
        <v>1</v>
      </c>
      <c r="AF827" s="14" t="s">
        <v>1007</v>
      </c>
      <c r="AG827" s="14" t="s">
        <v>168</v>
      </c>
    </row>
    <row r="828" spans="1:33" s="14" customFormat="1" x14ac:dyDescent="0.25">
      <c r="A828" s="10" t="s">
        <v>998</v>
      </c>
      <c r="B828" s="10"/>
      <c r="C828" s="10">
        <v>0</v>
      </c>
      <c r="D828" s="11">
        <v>42221</v>
      </c>
      <c r="E828" s="12">
        <v>43497</v>
      </c>
      <c r="F828" s="26" t="str">
        <f t="shared" si="26"/>
        <v>41 : 27</v>
      </c>
      <c r="G828" s="14">
        <f t="shared" si="27"/>
        <v>1276</v>
      </c>
      <c r="H828" s="9">
        <v>1</v>
      </c>
      <c r="I828" s="9">
        <v>11</v>
      </c>
      <c r="J828" s="9" t="s">
        <v>40</v>
      </c>
      <c r="K828" s="9" t="s">
        <v>40</v>
      </c>
      <c r="L828" s="15">
        <v>-0.5</v>
      </c>
      <c r="M828" s="14">
        <v>0.5</v>
      </c>
      <c r="V828" s="14" t="s">
        <v>261</v>
      </c>
      <c r="W828" s="14">
        <v>1</v>
      </c>
      <c r="Y828" s="14">
        <v>1</v>
      </c>
      <c r="AA828" s="14">
        <v>1</v>
      </c>
      <c r="AF828" s="14" t="s">
        <v>1008</v>
      </c>
      <c r="AG828" s="14" t="s">
        <v>1009</v>
      </c>
    </row>
    <row r="829" spans="1:33" s="14" customFormat="1" x14ac:dyDescent="0.25">
      <c r="A829" s="10" t="s">
        <v>998</v>
      </c>
      <c r="B829" s="10"/>
      <c r="C829" s="10">
        <v>0</v>
      </c>
      <c r="D829" s="11">
        <v>42221</v>
      </c>
      <c r="E829" s="12">
        <v>43497</v>
      </c>
      <c r="F829" s="26" t="str">
        <f t="shared" si="26"/>
        <v>41 : 27</v>
      </c>
      <c r="G829" s="14">
        <f t="shared" si="27"/>
        <v>1276</v>
      </c>
      <c r="H829" s="9">
        <v>1</v>
      </c>
      <c r="I829" s="9">
        <v>12</v>
      </c>
      <c r="J829" s="9" t="s">
        <v>30</v>
      </c>
      <c r="K829" s="9" t="s">
        <v>39</v>
      </c>
      <c r="L829" s="15">
        <v>0.5</v>
      </c>
      <c r="M829" s="14">
        <v>-0.5</v>
      </c>
      <c r="Z829" s="14">
        <v>1</v>
      </c>
      <c r="AA829" s="14">
        <v>1</v>
      </c>
      <c r="AF829" s="14" t="s">
        <v>1010</v>
      </c>
      <c r="AG829" s="14" t="s">
        <v>168</v>
      </c>
    </row>
    <row r="830" spans="1:33" s="14" customFormat="1" x14ac:dyDescent="0.25">
      <c r="A830" s="10" t="s">
        <v>1011</v>
      </c>
      <c r="B830" s="10"/>
      <c r="C830" s="10">
        <v>1</v>
      </c>
      <c r="D830" s="11">
        <v>42225</v>
      </c>
      <c r="E830" s="12">
        <v>43525</v>
      </c>
      <c r="F830" s="26" t="str">
        <f t="shared" si="26"/>
        <v>42 : 20</v>
      </c>
      <c r="G830" s="14">
        <f t="shared" si="27"/>
        <v>1300</v>
      </c>
      <c r="H830" s="14">
        <v>2</v>
      </c>
      <c r="I830" s="14" t="s">
        <v>97</v>
      </c>
      <c r="J830" s="14" t="s">
        <v>30</v>
      </c>
      <c r="K830" s="14" t="s">
        <v>30</v>
      </c>
      <c r="L830" s="14">
        <v>-0.5</v>
      </c>
      <c r="M830" s="14">
        <v>0.5</v>
      </c>
      <c r="AD830" s="14">
        <v>0</v>
      </c>
      <c r="AE830" s="14">
        <v>1</v>
      </c>
      <c r="AG830" s="14" t="s">
        <v>274</v>
      </c>
    </row>
    <row r="831" spans="1:33" s="14" customFormat="1" x14ac:dyDescent="0.25">
      <c r="A831" s="10" t="s">
        <v>1011</v>
      </c>
      <c r="B831" s="10"/>
      <c r="C831" s="10">
        <v>1</v>
      </c>
      <c r="D831" s="11">
        <v>42225</v>
      </c>
      <c r="E831" s="12">
        <v>43525</v>
      </c>
      <c r="F831" s="26" t="str">
        <f t="shared" si="26"/>
        <v>42 : 20</v>
      </c>
      <c r="G831" s="14">
        <f t="shared" si="27"/>
        <v>1300</v>
      </c>
      <c r="H831" s="14">
        <v>2</v>
      </c>
      <c r="I831" s="14" t="s">
        <v>99</v>
      </c>
      <c r="J831" s="14" t="s">
        <v>33</v>
      </c>
      <c r="K831" s="14" t="s">
        <v>32</v>
      </c>
      <c r="L831" s="14">
        <v>-0.5</v>
      </c>
      <c r="M831" s="14">
        <v>-0.5</v>
      </c>
      <c r="AD831" s="14">
        <v>0</v>
      </c>
      <c r="AE831" s="14">
        <v>1</v>
      </c>
      <c r="AG831" s="14" t="s">
        <v>274</v>
      </c>
    </row>
    <row r="832" spans="1:33" s="14" customFormat="1" x14ac:dyDescent="0.25">
      <c r="A832" s="10" t="s">
        <v>1011</v>
      </c>
      <c r="B832" s="10"/>
      <c r="C832" s="10">
        <v>1</v>
      </c>
      <c r="D832" s="11">
        <v>42225</v>
      </c>
      <c r="E832" s="12">
        <v>43525</v>
      </c>
      <c r="F832" s="26" t="str">
        <f t="shared" si="26"/>
        <v>42 : 20</v>
      </c>
      <c r="G832" s="14">
        <f t="shared" si="27"/>
        <v>1300</v>
      </c>
      <c r="H832" s="14">
        <v>2</v>
      </c>
      <c r="I832" s="14" t="s">
        <v>103</v>
      </c>
      <c r="J832" s="14" t="s">
        <v>35</v>
      </c>
      <c r="K832" s="14" t="s">
        <v>35</v>
      </c>
      <c r="L832" s="14">
        <v>0.5</v>
      </c>
      <c r="M832" s="14">
        <v>0.5</v>
      </c>
      <c r="Q832" s="14">
        <v>1</v>
      </c>
      <c r="R832" s="14">
        <v>1</v>
      </c>
      <c r="S832" s="14">
        <v>1</v>
      </c>
      <c r="Y832" s="14">
        <v>1</v>
      </c>
      <c r="AD832" s="14">
        <v>0</v>
      </c>
      <c r="AE832" s="14">
        <v>0</v>
      </c>
      <c r="AF832" s="14" t="s">
        <v>1012</v>
      </c>
      <c r="AG832" s="14" t="s">
        <v>875</v>
      </c>
    </row>
    <row r="833" spans="1:34" s="14" customFormat="1" x14ac:dyDescent="0.25">
      <c r="A833" s="10" t="s">
        <v>1011</v>
      </c>
      <c r="B833" s="10"/>
      <c r="C833" s="10">
        <v>1</v>
      </c>
      <c r="D833" s="11">
        <v>42225</v>
      </c>
      <c r="E833" s="12">
        <v>43525</v>
      </c>
      <c r="F833" s="26" t="str">
        <f t="shared" si="26"/>
        <v>42 : 20</v>
      </c>
      <c r="G833" s="14">
        <f t="shared" si="27"/>
        <v>1300</v>
      </c>
      <c r="H833" s="14">
        <v>2</v>
      </c>
      <c r="I833" s="14" t="s">
        <v>104</v>
      </c>
      <c r="J833" s="14" t="s">
        <v>32</v>
      </c>
      <c r="K833" s="14" t="s">
        <v>32</v>
      </c>
      <c r="L833" s="14">
        <v>0.5</v>
      </c>
      <c r="M833" s="14">
        <v>0.5</v>
      </c>
      <c r="R833" s="14">
        <v>1</v>
      </c>
      <c r="S833" s="14">
        <v>1</v>
      </c>
      <c r="AD833" s="14">
        <v>0</v>
      </c>
      <c r="AE833" s="14">
        <v>0</v>
      </c>
      <c r="AF833" s="14" t="s">
        <v>1013</v>
      </c>
      <c r="AG833" s="14" t="s">
        <v>41</v>
      </c>
    </row>
    <row r="834" spans="1:34" s="14" customFormat="1" x14ac:dyDescent="0.25">
      <c r="A834" s="10" t="s">
        <v>1011</v>
      </c>
      <c r="B834" s="10"/>
      <c r="C834" s="10">
        <v>1</v>
      </c>
      <c r="D834" s="11">
        <v>42225</v>
      </c>
      <c r="E834" s="12">
        <v>43525</v>
      </c>
      <c r="F834" s="26" t="str">
        <f t="shared" si="26"/>
        <v>42 : 20</v>
      </c>
      <c r="G834" s="14">
        <f t="shared" si="27"/>
        <v>1300</v>
      </c>
      <c r="H834" s="14">
        <v>2</v>
      </c>
      <c r="I834" s="14" t="s">
        <v>107</v>
      </c>
      <c r="J834" s="14" t="s">
        <v>35</v>
      </c>
      <c r="K834" s="14" t="s">
        <v>33</v>
      </c>
      <c r="L834" s="14">
        <v>-0.5</v>
      </c>
      <c r="M834" s="14">
        <v>-0.5</v>
      </c>
      <c r="AA834" s="14">
        <v>1</v>
      </c>
      <c r="AD834" s="13"/>
      <c r="AE834" s="13"/>
      <c r="AF834" s="14" t="s">
        <v>1014</v>
      </c>
      <c r="AG834" s="14" t="s">
        <v>1015</v>
      </c>
    </row>
    <row r="835" spans="1:34" s="14" customFormat="1" x14ac:dyDescent="0.25">
      <c r="A835" s="10" t="s">
        <v>1011</v>
      </c>
      <c r="B835" s="10"/>
      <c r="C835" s="10">
        <v>1</v>
      </c>
      <c r="D835" s="11">
        <v>42225</v>
      </c>
      <c r="E835" s="12">
        <v>43525</v>
      </c>
      <c r="F835" s="26" t="str">
        <f t="shared" si="26"/>
        <v>42 : 20</v>
      </c>
      <c r="G835" s="14">
        <f t="shared" si="27"/>
        <v>1300</v>
      </c>
      <c r="H835" s="14">
        <v>2</v>
      </c>
      <c r="I835" s="14" t="s">
        <v>110</v>
      </c>
      <c r="J835" s="14" t="s">
        <v>40</v>
      </c>
      <c r="K835" s="14" t="s">
        <v>39</v>
      </c>
      <c r="L835" s="14">
        <v>0.5</v>
      </c>
      <c r="M835" s="14">
        <v>-0.5</v>
      </c>
      <c r="P835" s="14">
        <v>1</v>
      </c>
      <c r="S835" s="14">
        <v>1</v>
      </c>
      <c r="AF835" s="14" t="s">
        <v>1016</v>
      </c>
      <c r="AH835" s="14" t="s">
        <v>1017</v>
      </c>
    </row>
    <row r="836" spans="1:34" s="14" customFormat="1" x14ac:dyDescent="0.25">
      <c r="A836" s="10" t="s">
        <v>1011</v>
      </c>
      <c r="B836" s="10"/>
      <c r="C836" s="10">
        <v>1</v>
      </c>
      <c r="D836" s="11">
        <v>42225</v>
      </c>
      <c r="E836" s="12">
        <v>43525</v>
      </c>
      <c r="F836" s="26" t="str">
        <f t="shared" si="26"/>
        <v>42 : 20</v>
      </c>
      <c r="G836" s="14">
        <f t="shared" si="27"/>
        <v>1300</v>
      </c>
      <c r="H836" s="14">
        <v>2</v>
      </c>
      <c r="I836" s="14" t="s">
        <v>113</v>
      </c>
      <c r="J836" s="14" t="s">
        <v>39</v>
      </c>
      <c r="K836" s="14" t="s">
        <v>39</v>
      </c>
      <c r="L836" s="14">
        <v>-0.5</v>
      </c>
      <c r="M836" s="14">
        <v>0.5</v>
      </c>
      <c r="AD836" s="14">
        <v>0</v>
      </c>
      <c r="AE836" s="14">
        <v>1</v>
      </c>
      <c r="AG836" s="14" t="s">
        <v>37</v>
      </c>
    </row>
    <row r="837" spans="1:34" s="14" customFormat="1" x14ac:dyDescent="0.25">
      <c r="A837" s="10" t="s">
        <v>1011</v>
      </c>
      <c r="B837" s="10"/>
      <c r="C837" s="10">
        <v>1</v>
      </c>
      <c r="D837" s="11">
        <v>42225</v>
      </c>
      <c r="E837" s="12">
        <v>43525</v>
      </c>
      <c r="F837" s="26" t="str">
        <f t="shared" si="26"/>
        <v>42 : 20</v>
      </c>
      <c r="G837" s="14">
        <f t="shared" si="27"/>
        <v>1300</v>
      </c>
      <c r="H837" s="14">
        <v>2</v>
      </c>
      <c r="I837" s="14" t="s">
        <v>115</v>
      </c>
      <c r="J837" s="14" t="s">
        <v>32</v>
      </c>
      <c r="K837" s="14" t="s">
        <v>35</v>
      </c>
      <c r="L837" s="14">
        <v>-0.5</v>
      </c>
      <c r="M837" s="14">
        <v>-0.5</v>
      </c>
      <c r="AD837" s="14">
        <v>0</v>
      </c>
      <c r="AE837" s="14">
        <v>1</v>
      </c>
      <c r="AG837" s="14" t="s">
        <v>1018</v>
      </c>
    </row>
    <row r="838" spans="1:34" s="14" customFormat="1" x14ac:dyDescent="0.25">
      <c r="A838" s="10" t="s">
        <v>1011</v>
      </c>
      <c r="B838" s="10"/>
      <c r="C838" s="10">
        <v>1</v>
      </c>
      <c r="D838" s="11">
        <v>42225</v>
      </c>
      <c r="E838" s="12">
        <v>43525</v>
      </c>
      <c r="F838" s="26" t="str">
        <f t="shared" si="26"/>
        <v>42 : 20</v>
      </c>
      <c r="G838" s="14">
        <f t="shared" si="27"/>
        <v>1300</v>
      </c>
      <c r="H838" s="14">
        <v>2</v>
      </c>
      <c r="I838" s="14" t="s">
        <v>117</v>
      </c>
      <c r="J838" s="14" t="s">
        <v>30</v>
      </c>
      <c r="K838" s="14" t="s">
        <v>40</v>
      </c>
      <c r="L838" s="14">
        <v>0.5</v>
      </c>
      <c r="M838" s="14">
        <v>-0.5</v>
      </c>
      <c r="AD838" s="14">
        <v>0</v>
      </c>
      <c r="AE838" s="14">
        <v>0</v>
      </c>
      <c r="AG838" s="14" t="s">
        <v>53</v>
      </c>
    </row>
    <row r="839" spans="1:34" s="14" customFormat="1" x14ac:dyDescent="0.25">
      <c r="A839" s="10" t="s">
        <v>1011</v>
      </c>
      <c r="B839" s="10"/>
      <c r="C839" s="10">
        <v>1</v>
      </c>
      <c r="D839" s="11">
        <v>42225</v>
      </c>
      <c r="E839" s="12">
        <v>43525</v>
      </c>
      <c r="F839" s="26" t="str">
        <f t="shared" si="26"/>
        <v>42 : 20</v>
      </c>
      <c r="G839" s="14">
        <f t="shared" si="27"/>
        <v>1300</v>
      </c>
      <c r="H839" s="14">
        <v>2</v>
      </c>
      <c r="I839" s="14" t="s">
        <v>121</v>
      </c>
      <c r="J839" s="14" t="s">
        <v>33</v>
      </c>
      <c r="K839" s="14" t="s">
        <v>33</v>
      </c>
      <c r="L839" s="14">
        <v>0.5</v>
      </c>
      <c r="M839" s="14">
        <v>0.5</v>
      </c>
      <c r="Y839" s="14">
        <v>1</v>
      </c>
      <c r="AD839" s="14">
        <v>0</v>
      </c>
      <c r="AE839" s="14">
        <v>0</v>
      </c>
      <c r="AF839" s="14" t="s">
        <v>1019</v>
      </c>
      <c r="AG839" s="14" t="s">
        <v>1020</v>
      </c>
    </row>
    <row r="840" spans="1:34" s="14" customFormat="1" x14ac:dyDescent="0.25">
      <c r="A840" s="10" t="s">
        <v>1011</v>
      </c>
      <c r="B840" s="10"/>
      <c r="C840" s="10">
        <v>1</v>
      </c>
      <c r="D840" s="11">
        <v>42225</v>
      </c>
      <c r="E840" s="12">
        <v>43525</v>
      </c>
      <c r="F840" s="26" t="str">
        <f t="shared" si="26"/>
        <v>42 : 20</v>
      </c>
      <c r="G840" s="14">
        <f t="shared" si="27"/>
        <v>1300</v>
      </c>
      <c r="H840" s="14">
        <v>2</v>
      </c>
      <c r="I840" s="14" t="s">
        <v>124</v>
      </c>
      <c r="J840" s="14" t="s">
        <v>40</v>
      </c>
      <c r="K840" s="14" t="s">
        <v>40</v>
      </c>
      <c r="L840" s="14">
        <v>-0.5</v>
      </c>
      <c r="M840" s="14">
        <v>0.5</v>
      </c>
      <c r="AD840" s="14">
        <v>0</v>
      </c>
      <c r="AE840" s="14">
        <v>1</v>
      </c>
      <c r="AG840" s="14" t="s">
        <v>343</v>
      </c>
    </row>
    <row r="841" spans="1:34" s="14" customFormat="1" x14ac:dyDescent="0.25">
      <c r="A841" s="10" t="s">
        <v>1011</v>
      </c>
      <c r="B841" s="10"/>
      <c r="C841" s="10">
        <v>1</v>
      </c>
      <c r="D841" s="11">
        <v>42225</v>
      </c>
      <c r="E841" s="12">
        <v>43525</v>
      </c>
      <c r="F841" s="26" t="str">
        <f t="shared" si="26"/>
        <v>42 : 20</v>
      </c>
      <c r="G841" s="14">
        <f t="shared" si="27"/>
        <v>1300</v>
      </c>
      <c r="H841" s="14">
        <v>2</v>
      </c>
      <c r="I841" s="14" t="s">
        <v>127</v>
      </c>
      <c r="J841" s="14" t="s">
        <v>39</v>
      </c>
      <c r="K841" s="14" t="s">
        <v>30</v>
      </c>
      <c r="L841" s="14">
        <v>0.5</v>
      </c>
      <c r="M841" s="14">
        <v>-0.5</v>
      </c>
      <c r="Q841" s="14">
        <v>1</v>
      </c>
      <c r="Y841" s="14">
        <v>1</v>
      </c>
      <c r="AD841" s="14">
        <v>0</v>
      </c>
      <c r="AE841" s="14">
        <v>0</v>
      </c>
      <c r="AF841" s="14" t="s">
        <v>1021</v>
      </c>
      <c r="AG841" s="14" t="s">
        <v>665</v>
      </c>
      <c r="AH841" s="14" t="s">
        <v>280</v>
      </c>
    </row>
    <row r="842" spans="1:34" s="14" customFormat="1" x14ac:dyDescent="0.25">
      <c r="A842" s="10" t="s">
        <v>1022</v>
      </c>
      <c r="B842" s="10"/>
      <c r="C842" s="10">
        <v>1</v>
      </c>
      <c r="D842" s="11">
        <v>42207</v>
      </c>
      <c r="E842" s="12">
        <v>43501</v>
      </c>
      <c r="F842" s="26" t="str">
        <f t="shared" si="26"/>
        <v>42 : 14</v>
      </c>
      <c r="G842" s="14">
        <f t="shared" si="27"/>
        <v>1294</v>
      </c>
      <c r="H842" s="9">
        <v>5</v>
      </c>
      <c r="I842" s="9">
        <v>6</v>
      </c>
      <c r="J842" s="9" t="s">
        <v>39</v>
      </c>
      <c r="K842" s="9" t="s">
        <v>40</v>
      </c>
      <c r="L842" s="20">
        <v>0.5</v>
      </c>
      <c r="M842" s="14">
        <v>-0.5</v>
      </c>
      <c r="AD842" s="14">
        <v>1</v>
      </c>
      <c r="AE842" s="14">
        <v>1</v>
      </c>
      <c r="AG842" s="14" t="s">
        <v>317</v>
      </c>
    </row>
    <row r="843" spans="1:34" s="14" customFormat="1" x14ac:dyDescent="0.25">
      <c r="A843" s="10" t="s">
        <v>1022</v>
      </c>
      <c r="B843" s="10"/>
      <c r="C843" s="10">
        <v>1</v>
      </c>
      <c r="D843" s="11">
        <v>42207</v>
      </c>
      <c r="E843" s="12">
        <v>43501</v>
      </c>
      <c r="F843" s="26" t="str">
        <f t="shared" si="26"/>
        <v>42 : 14</v>
      </c>
      <c r="G843" s="14">
        <f t="shared" si="27"/>
        <v>1294</v>
      </c>
      <c r="H843" s="9">
        <v>5</v>
      </c>
      <c r="I843" s="9">
        <v>5</v>
      </c>
      <c r="J843" s="9" t="s">
        <v>33</v>
      </c>
      <c r="K843" s="9" t="s">
        <v>35</v>
      </c>
      <c r="L843" s="20">
        <v>-0.5</v>
      </c>
      <c r="M843" s="14">
        <v>-0.5</v>
      </c>
      <c r="AD843" s="14">
        <v>0</v>
      </c>
      <c r="AE843" s="14">
        <v>1</v>
      </c>
      <c r="AG843" s="14" t="s">
        <v>1023</v>
      </c>
    </row>
    <row r="844" spans="1:34" s="14" customFormat="1" x14ac:dyDescent="0.25">
      <c r="A844" s="10" t="s">
        <v>1022</v>
      </c>
      <c r="B844" s="10"/>
      <c r="C844" s="10">
        <v>1</v>
      </c>
      <c r="D844" s="11">
        <v>42207</v>
      </c>
      <c r="E844" s="12">
        <v>43501</v>
      </c>
      <c r="F844" s="26" t="str">
        <f t="shared" si="26"/>
        <v>42 : 14</v>
      </c>
      <c r="G844" s="14">
        <f t="shared" si="27"/>
        <v>1294</v>
      </c>
      <c r="H844" s="9">
        <v>5</v>
      </c>
      <c r="I844" s="9">
        <v>4</v>
      </c>
      <c r="J844" s="9" t="s">
        <v>32</v>
      </c>
      <c r="K844" s="9" t="s">
        <v>32</v>
      </c>
      <c r="L844" s="20">
        <v>0.5</v>
      </c>
      <c r="M844" s="14">
        <v>0.5</v>
      </c>
      <c r="U844" s="14">
        <v>1</v>
      </c>
      <c r="AD844" s="14">
        <v>1</v>
      </c>
      <c r="AE844" s="14">
        <v>1</v>
      </c>
      <c r="AG844" s="14" t="s">
        <v>1024</v>
      </c>
    </row>
    <row r="845" spans="1:34" s="14" customFormat="1" x14ac:dyDescent="0.25">
      <c r="A845" s="10" t="s">
        <v>1022</v>
      </c>
      <c r="B845" s="10"/>
      <c r="C845" s="10">
        <v>1</v>
      </c>
      <c r="D845" s="11">
        <v>42207</v>
      </c>
      <c r="E845" s="12">
        <v>43501</v>
      </c>
      <c r="F845" s="26" t="str">
        <f t="shared" si="26"/>
        <v>42 : 14</v>
      </c>
      <c r="G845" s="14">
        <f t="shared" si="27"/>
        <v>1294</v>
      </c>
      <c r="H845" s="9">
        <v>5</v>
      </c>
      <c r="I845" s="9">
        <v>3</v>
      </c>
      <c r="J845" s="9" t="s">
        <v>35</v>
      </c>
      <c r="K845" s="9" t="s">
        <v>35</v>
      </c>
      <c r="L845" s="20">
        <v>0.5</v>
      </c>
      <c r="M845" s="14">
        <v>0.5</v>
      </c>
      <c r="AD845" s="14">
        <v>0</v>
      </c>
      <c r="AE845" s="14">
        <v>0</v>
      </c>
      <c r="AG845" s="14" t="s">
        <v>522</v>
      </c>
    </row>
    <row r="846" spans="1:34" s="14" customFormat="1" x14ac:dyDescent="0.25">
      <c r="A846" s="10" t="s">
        <v>1022</v>
      </c>
      <c r="B846" s="10"/>
      <c r="C846" s="10">
        <v>1</v>
      </c>
      <c r="D846" s="11">
        <v>42207</v>
      </c>
      <c r="E846" s="12">
        <v>43501</v>
      </c>
      <c r="F846" s="26" t="str">
        <f t="shared" si="26"/>
        <v>42 : 14</v>
      </c>
      <c r="G846" s="14">
        <f t="shared" si="27"/>
        <v>1294</v>
      </c>
      <c r="H846" s="9">
        <v>5</v>
      </c>
      <c r="I846" s="9">
        <v>2</v>
      </c>
      <c r="J846" s="9" t="s">
        <v>32</v>
      </c>
      <c r="K846" s="9" t="s">
        <v>33</v>
      </c>
      <c r="L846" s="20">
        <v>-0.5</v>
      </c>
      <c r="M846" s="14">
        <v>-0.5</v>
      </c>
      <c r="AD846" s="14">
        <v>0</v>
      </c>
      <c r="AE846" s="14">
        <v>1</v>
      </c>
      <c r="AG846" s="14" t="s">
        <v>1025</v>
      </c>
    </row>
    <row r="847" spans="1:34" s="14" customFormat="1" x14ac:dyDescent="0.25">
      <c r="A847" s="10" t="s">
        <v>1022</v>
      </c>
      <c r="B847" s="10"/>
      <c r="C847" s="10">
        <v>1</v>
      </c>
      <c r="D847" s="11">
        <v>42207</v>
      </c>
      <c r="E847" s="12">
        <v>43501</v>
      </c>
      <c r="F847" s="26" t="str">
        <f t="shared" si="26"/>
        <v>42 : 14</v>
      </c>
      <c r="G847" s="14">
        <f t="shared" si="27"/>
        <v>1294</v>
      </c>
      <c r="H847" s="9">
        <v>5</v>
      </c>
      <c r="I847" s="9">
        <v>1</v>
      </c>
      <c r="J847" s="9" t="s">
        <v>30</v>
      </c>
      <c r="K847" s="9" t="s">
        <v>30</v>
      </c>
      <c r="L847" s="20">
        <v>-0.5</v>
      </c>
      <c r="M847" s="14">
        <v>0.5</v>
      </c>
      <c r="R847" s="14">
        <v>1</v>
      </c>
      <c r="S847" s="14">
        <v>0</v>
      </c>
      <c r="Y847" s="14">
        <v>1</v>
      </c>
      <c r="AD847" s="14">
        <v>0</v>
      </c>
      <c r="AE847" s="14">
        <v>1</v>
      </c>
      <c r="AF847" s="14" t="s">
        <v>1026</v>
      </c>
      <c r="AG847" s="14" t="s">
        <v>48</v>
      </c>
    </row>
    <row r="848" spans="1:34" s="14" customFormat="1" x14ac:dyDescent="0.25">
      <c r="A848" s="10" t="s">
        <v>1022</v>
      </c>
      <c r="B848" s="10"/>
      <c r="C848" s="10">
        <v>1</v>
      </c>
      <c r="D848" s="11">
        <v>42207</v>
      </c>
      <c r="E848" s="12">
        <v>43501</v>
      </c>
      <c r="F848" s="26" t="str">
        <f t="shared" si="26"/>
        <v>42 : 14</v>
      </c>
      <c r="G848" s="14">
        <f t="shared" si="27"/>
        <v>1294</v>
      </c>
      <c r="H848" s="9">
        <v>5</v>
      </c>
      <c r="I848" s="9">
        <v>12</v>
      </c>
      <c r="J848" s="9" t="s">
        <v>30</v>
      </c>
      <c r="K848" s="9" t="s">
        <v>39</v>
      </c>
      <c r="L848" s="20">
        <v>0.5</v>
      </c>
      <c r="M848" s="14">
        <v>-0.5</v>
      </c>
      <c r="R848" s="14">
        <v>1</v>
      </c>
      <c r="S848" s="14">
        <v>0</v>
      </c>
      <c r="Y848" s="14">
        <v>1</v>
      </c>
      <c r="AD848" s="14">
        <v>1</v>
      </c>
      <c r="AE848" s="14">
        <v>1</v>
      </c>
      <c r="AF848" s="14" t="s">
        <v>1027</v>
      </c>
      <c r="AG848" s="14" t="s">
        <v>1028</v>
      </c>
    </row>
    <row r="849" spans="1:33" s="14" customFormat="1" x14ac:dyDescent="0.25">
      <c r="A849" s="10" t="s">
        <v>1022</v>
      </c>
      <c r="B849" s="10"/>
      <c r="C849" s="10">
        <v>1</v>
      </c>
      <c r="D849" s="11">
        <v>42207</v>
      </c>
      <c r="E849" s="12">
        <v>43501</v>
      </c>
      <c r="F849" s="26" t="str">
        <f t="shared" si="26"/>
        <v>42 : 14</v>
      </c>
      <c r="G849" s="14">
        <f t="shared" si="27"/>
        <v>1294</v>
      </c>
      <c r="H849" s="9">
        <v>5</v>
      </c>
      <c r="I849" s="9">
        <v>11</v>
      </c>
      <c r="J849" s="9" t="s">
        <v>40</v>
      </c>
      <c r="K849" s="9" t="s">
        <v>40</v>
      </c>
      <c r="L849" s="20">
        <v>-0.5</v>
      </c>
      <c r="M849" s="14">
        <v>0.5</v>
      </c>
      <c r="AD849" s="14">
        <v>0</v>
      </c>
      <c r="AE849" s="14">
        <v>1</v>
      </c>
      <c r="AG849" s="14" t="s">
        <v>417</v>
      </c>
    </row>
    <row r="850" spans="1:33" s="14" customFormat="1" x14ac:dyDescent="0.25">
      <c r="A850" s="10" t="s">
        <v>1022</v>
      </c>
      <c r="B850" s="10"/>
      <c r="C850" s="10">
        <v>1</v>
      </c>
      <c r="D850" s="11">
        <v>42207</v>
      </c>
      <c r="E850" s="12">
        <v>43501</v>
      </c>
      <c r="F850" s="26" t="str">
        <f t="shared" si="26"/>
        <v>42 : 14</v>
      </c>
      <c r="G850" s="14">
        <f t="shared" si="27"/>
        <v>1294</v>
      </c>
      <c r="H850" s="9">
        <v>5</v>
      </c>
      <c r="I850" s="9">
        <v>10</v>
      </c>
      <c r="J850" s="9" t="s">
        <v>33</v>
      </c>
      <c r="K850" s="9" t="s">
        <v>33</v>
      </c>
      <c r="L850" s="20">
        <v>0.5</v>
      </c>
      <c r="M850" s="14">
        <v>0.5</v>
      </c>
      <c r="AD850" s="14">
        <v>0</v>
      </c>
      <c r="AE850" s="14">
        <v>0</v>
      </c>
      <c r="AG850" s="14" t="s">
        <v>414</v>
      </c>
    </row>
    <row r="851" spans="1:33" s="14" customFormat="1" x14ac:dyDescent="0.25">
      <c r="A851" s="10" t="s">
        <v>1022</v>
      </c>
      <c r="B851" s="10"/>
      <c r="C851" s="10">
        <v>1</v>
      </c>
      <c r="D851" s="11">
        <v>42207</v>
      </c>
      <c r="E851" s="12">
        <v>43501</v>
      </c>
      <c r="F851" s="26" t="str">
        <f t="shared" si="26"/>
        <v>42 : 14</v>
      </c>
      <c r="G851" s="14">
        <f t="shared" si="27"/>
        <v>1294</v>
      </c>
      <c r="H851" s="9">
        <v>5</v>
      </c>
      <c r="I851" s="9">
        <v>9</v>
      </c>
      <c r="J851" s="9" t="s">
        <v>40</v>
      </c>
      <c r="K851" s="9" t="s">
        <v>30</v>
      </c>
      <c r="L851" s="20">
        <v>0.5</v>
      </c>
      <c r="M851" s="14">
        <v>-0.5</v>
      </c>
      <c r="R851" s="14">
        <v>1</v>
      </c>
      <c r="S851" s="14">
        <v>0</v>
      </c>
      <c r="AD851" s="14">
        <v>0</v>
      </c>
      <c r="AE851" s="14">
        <v>0</v>
      </c>
      <c r="AF851" s="14" t="s">
        <v>1029</v>
      </c>
      <c r="AG851" s="14" t="s">
        <v>508</v>
      </c>
    </row>
    <row r="852" spans="1:33" s="14" customFormat="1" x14ac:dyDescent="0.25">
      <c r="A852" s="10" t="s">
        <v>1022</v>
      </c>
      <c r="B852" s="10"/>
      <c r="C852" s="10">
        <v>1</v>
      </c>
      <c r="D852" s="11">
        <v>42207</v>
      </c>
      <c r="E852" s="12">
        <v>43501</v>
      </c>
      <c r="F852" s="26" t="str">
        <f t="shared" si="26"/>
        <v>42 : 14</v>
      </c>
      <c r="G852" s="14">
        <f t="shared" si="27"/>
        <v>1294</v>
      </c>
      <c r="H852" s="9">
        <v>5</v>
      </c>
      <c r="I852" s="9">
        <v>8</v>
      </c>
      <c r="J852" s="9" t="s">
        <v>35</v>
      </c>
      <c r="K852" s="9" t="s">
        <v>32</v>
      </c>
      <c r="L852" s="20">
        <v>-0.5</v>
      </c>
      <c r="M852" s="14">
        <v>-0.5</v>
      </c>
      <c r="R852" s="14">
        <v>1</v>
      </c>
      <c r="S852" s="14">
        <v>0</v>
      </c>
      <c r="AD852" s="14">
        <v>1</v>
      </c>
      <c r="AE852" s="14">
        <v>0</v>
      </c>
      <c r="AF852" s="14" t="s">
        <v>1030</v>
      </c>
      <c r="AG852" s="14" t="s">
        <v>1031</v>
      </c>
    </row>
    <row r="853" spans="1:33" s="14" customFormat="1" x14ac:dyDescent="0.25">
      <c r="A853" s="10" t="s">
        <v>1022</v>
      </c>
      <c r="B853" s="10"/>
      <c r="C853" s="10">
        <v>1</v>
      </c>
      <c r="D853" s="11">
        <v>42207</v>
      </c>
      <c r="E853" s="12">
        <v>43501</v>
      </c>
      <c r="F853" s="26" t="str">
        <f t="shared" si="26"/>
        <v>42 : 14</v>
      </c>
      <c r="G853" s="14">
        <f t="shared" si="27"/>
        <v>1294</v>
      </c>
      <c r="H853" s="9">
        <v>5</v>
      </c>
      <c r="I853" s="9">
        <v>7</v>
      </c>
      <c r="J853" s="9" t="s">
        <v>39</v>
      </c>
      <c r="K853" s="9" t="s">
        <v>39</v>
      </c>
      <c r="L853" s="20">
        <v>-0.5</v>
      </c>
      <c r="M853" s="14">
        <v>0.5</v>
      </c>
      <c r="AD853" s="14">
        <v>1</v>
      </c>
      <c r="AE853" s="14">
        <v>0</v>
      </c>
      <c r="AG853" s="14" t="s">
        <v>321</v>
      </c>
    </row>
    <row r="854" spans="1:33" s="14" customFormat="1" x14ac:dyDescent="0.25">
      <c r="A854" s="10" t="s">
        <v>1032</v>
      </c>
      <c r="B854" s="10"/>
      <c r="C854" s="10">
        <v>1</v>
      </c>
      <c r="D854" s="11">
        <v>42233</v>
      </c>
      <c r="E854" s="12">
        <v>43530</v>
      </c>
      <c r="F854" s="26" t="str">
        <f t="shared" si="26"/>
        <v>42 : 17</v>
      </c>
      <c r="G854" s="14">
        <f t="shared" si="27"/>
        <v>1297</v>
      </c>
      <c r="H854" s="22">
        <v>4</v>
      </c>
      <c r="I854" s="9" t="s">
        <v>97</v>
      </c>
      <c r="J854" s="9" t="s">
        <v>30</v>
      </c>
      <c r="K854" s="9" t="s">
        <v>30</v>
      </c>
      <c r="L854" s="20">
        <v>0.5</v>
      </c>
      <c r="M854" s="14">
        <v>0.5</v>
      </c>
      <c r="AD854" s="14">
        <v>0</v>
      </c>
      <c r="AE854" s="14">
        <v>0</v>
      </c>
      <c r="AG854" s="14" t="s">
        <v>98</v>
      </c>
    </row>
    <row r="855" spans="1:33" s="14" customFormat="1" x14ac:dyDescent="0.25">
      <c r="A855" s="10" t="s">
        <v>1032</v>
      </c>
      <c r="B855" s="10"/>
      <c r="C855" s="10">
        <v>1</v>
      </c>
      <c r="D855" s="11">
        <v>42233</v>
      </c>
      <c r="E855" s="12">
        <v>43530</v>
      </c>
      <c r="F855" s="26" t="str">
        <f t="shared" si="26"/>
        <v>42 : 17</v>
      </c>
      <c r="G855" s="14">
        <f t="shared" si="27"/>
        <v>1297</v>
      </c>
      <c r="H855" s="22">
        <v>4</v>
      </c>
      <c r="I855" s="9" t="s">
        <v>99</v>
      </c>
      <c r="J855" s="9" t="s">
        <v>33</v>
      </c>
      <c r="K855" s="9" t="s">
        <v>32</v>
      </c>
      <c r="L855" s="20">
        <v>0.5</v>
      </c>
      <c r="M855" s="14">
        <v>-0.5</v>
      </c>
      <c r="R855" s="14">
        <v>1</v>
      </c>
      <c r="Y855" s="14">
        <v>1</v>
      </c>
      <c r="AD855" s="14">
        <v>0</v>
      </c>
      <c r="AE855" s="14">
        <v>0</v>
      </c>
      <c r="AF855" s="14" t="s">
        <v>1033</v>
      </c>
      <c r="AG855" s="14" t="s">
        <v>1034</v>
      </c>
    </row>
    <row r="856" spans="1:33" s="14" customFormat="1" x14ac:dyDescent="0.25">
      <c r="A856" s="10" t="s">
        <v>1032</v>
      </c>
      <c r="B856" s="10"/>
      <c r="C856" s="10">
        <v>1</v>
      </c>
      <c r="D856" s="11">
        <v>42233</v>
      </c>
      <c r="E856" s="12">
        <v>43530</v>
      </c>
      <c r="F856" s="26" t="str">
        <f t="shared" si="26"/>
        <v>42 : 17</v>
      </c>
      <c r="G856" s="14">
        <f t="shared" si="27"/>
        <v>1297</v>
      </c>
      <c r="H856" s="22">
        <v>4</v>
      </c>
      <c r="I856" s="9" t="s">
        <v>103</v>
      </c>
      <c r="J856" s="9" t="s">
        <v>35</v>
      </c>
      <c r="K856" s="9" t="s">
        <v>35</v>
      </c>
      <c r="L856" s="20">
        <v>-0.5</v>
      </c>
      <c r="M856" s="14">
        <v>0.5</v>
      </c>
      <c r="AD856" s="14">
        <v>0</v>
      </c>
      <c r="AE856" s="14">
        <v>1</v>
      </c>
      <c r="AG856" s="14" t="s">
        <v>816</v>
      </c>
    </row>
    <row r="857" spans="1:33" s="14" customFormat="1" x14ac:dyDescent="0.25">
      <c r="A857" s="10" t="s">
        <v>1032</v>
      </c>
      <c r="B857" s="10"/>
      <c r="C857" s="10">
        <v>1</v>
      </c>
      <c r="D857" s="11">
        <v>42233</v>
      </c>
      <c r="E857" s="12">
        <v>43530</v>
      </c>
      <c r="F857" s="26" t="str">
        <f t="shared" si="26"/>
        <v>42 : 17</v>
      </c>
      <c r="G857" s="14">
        <f t="shared" si="27"/>
        <v>1297</v>
      </c>
      <c r="H857" s="22">
        <v>4</v>
      </c>
      <c r="I857" s="9" t="s">
        <v>104</v>
      </c>
      <c r="J857" s="9" t="s">
        <v>32</v>
      </c>
      <c r="K857" s="9" t="s">
        <v>32</v>
      </c>
      <c r="L857" s="20">
        <v>-0.5</v>
      </c>
      <c r="M857" s="14">
        <v>0.5</v>
      </c>
      <c r="AD857" s="14">
        <v>0</v>
      </c>
      <c r="AE857" s="14">
        <v>1</v>
      </c>
      <c r="AG857" s="14" t="s">
        <v>50</v>
      </c>
    </row>
    <row r="858" spans="1:33" s="14" customFormat="1" x14ac:dyDescent="0.25">
      <c r="A858" s="10" t="s">
        <v>1032</v>
      </c>
      <c r="B858" s="10"/>
      <c r="C858" s="10">
        <v>1</v>
      </c>
      <c r="D858" s="11">
        <v>42233</v>
      </c>
      <c r="E858" s="12">
        <v>43530</v>
      </c>
      <c r="F858" s="26" t="str">
        <f t="shared" si="26"/>
        <v>42 : 17</v>
      </c>
      <c r="G858" s="14">
        <f t="shared" si="27"/>
        <v>1297</v>
      </c>
      <c r="H858" s="22">
        <v>4</v>
      </c>
      <c r="I858" s="9" t="s">
        <v>107</v>
      </c>
      <c r="J858" s="9" t="s">
        <v>35</v>
      </c>
      <c r="K858" s="9" t="s">
        <v>33</v>
      </c>
      <c r="L858" s="20">
        <v>0.5</v>
      </c>
      <c r="M858" s="14">
        <v>-0.5</v>
      </c>
      <c r="V858" s="14" t="s">
        <v>197</v>
      </c>
      <c r="W858" s="14">
        <v>1</v>
      </c>
      <c r="AD858" s="14">
        <v>0</v>
      </c>
      <c r="AE858" s="14">
        <v>0</v>
      </c>
      <c r="AG858" s="14" t="s">
        <v>1035</v>
      </c>
    </row>
    <row r="859" spans="1:33" s="14" customFormat="1" x14ac:dyDescent="0.25">
      <c r="A859" s="10" t="s">
        <v>1032</v>
      </c>
      <c r="B859" s="10"/>
      <c r="C859" s="10">
        <v>1</v>
      </c>
      <c r="D859" s="11">
        <v>42233</v>
      </c>
      <c r="E859" s="12">
        <v>43530</v>
      </c>
      <c r="F859" s="26" t="str">
        <f t="shared" si="26"/>
        <v>42 : 17</v>
      </c>
      <c r="G859" s="14">
        <f t="shared" si="27"/>
        <v>1297</v>
      </c>
      <c r="H859" s="22">
        <v>4</v>
      </c>
      <c r="I859" s="9" t="s">
        <v>110</v>
      </c>
      <c r="J859" s="9" t="s">
        <v>40</v>
      </c>
      <c r="K859" s="9" t="s">
        <v>39</v>
      </c>
      <c r="L859" s="20">
        <v>-0.5</v>
      </c>
      <c r="M859" s="14">
        <v>-0.5</v>
      </c>
      <c r="AD859" s="14">
        <v>0</v>
      </c>
      <c r="AE859" s="14">
        <v>1</v>
      </c>
      <c r="AG859" s="14" t="s">
        <v>907</v>
      </c>
    </row>
    <row r="860" spans="1:33" s="14" customFormat="1" x14ac:dyDescent="0.25">
      <c r="A860" s="10" t="s">
        <v>1032</v>
      </c>
      <c r="B860" s="10"/>
      <c r="C860" s="10">
        <v>1</v>
      </c>
      <c r="D860" s="11">
        <v>42233</v>
      </c>
      <c r="E860" s="12">
        <v>43530</v>
      </c>
      <c r="F860" s="26" t="str">
        <f t="shared" si="26"/>
        <v>42 : 17</v>
      </c>
      <c r="G860" s="14">
        <f t="shared" si="27"/>
        <v>1297</v>
      </c>
      <c r="H860" s="22">
        <v>4</v>
      </c>
      <c r="I860" s="9" t="s">
        <v>113</v>
      </c>
      <c r="J860" s="9" t="s">
        <v>39</v>
      </c>
      <c r="K860" s="9" t="s">
        <v>39</v>
      </c>
      <c r="L860" s="20">
        <v>0.5</v>
      </c>
      <c r="M860" s="14">
        <v>0.5</v>
      </c>
      <c r="R860" s="14">
        <v>1</v>
      </c>
      <c r="S860" s="14">
        <v>0</v>
      </c>
      <c r="Y860" s="14">
        <v>1</v>
      </c>
      <c r="AD860" s="14">
        <v>0</v>
      </c>
      <c r="AE860" s="14">
        <v>0</v>
      </c>
      <c r="AF860" s="14" t="s">
        <v>1036</v>
      </c>
      <c r="AG860" s="14" t="s">
        <v>265</v>
      </c>
    </row>
    <row r="861" spans="1:33" s="14" customFormat="1" x14ac:dyDescent="0.25">
      <c r="A861" s="10" t="s">
        <v>1032</v>
      </c>
      <c r="B861" s="10"/>
      <c r="C861" s="10">
        <v>1</v>
      </c>
      <c r="D861" s="11">
        <v>42233</v>
      </c>
      <c r="E861" s="12">
        <v>43530</v>
      </c>
      <c r="F861" s="26" t="str">
        <f t="shared" si="26"/>
        <v>42 : 17</v>
      </c>
      <c r="G861" s="14">
        <f t="shared" si="27"/>
        <v>1297</v>
      </c>
      <c r="H861" s="22">
        <v>4</v>
      </c>
      <c r="I861" s="9" t="s">
        <v>115</v>
      </c>
      <c r="J861" s="9" t="s">
        <v>32</v>
      </c>
      <c r="K861" s="9" t="s">
        <v>35</v>
      </c>
      <c r="L861" s="20">
        <v>0.5</v>
      </c>
      <c r="M861" s="14">
        <v>-0.5</v>
      </c>
      <c r="AD861" s="14">
        <v>0</v>
      </c>
      <c r="AE861" s="14">
        <v>0</v>
      </c>
      <c r="AG861" s="14" t="s">
        <v>1037</v>
      </c>
    </row>
    <row r="862" spans="1:33" s="14" customFormat="1" x14ac:dyDescent="0.25">
      <c r="A862" s="10" t="s">
        <v>1032</v>
      </c>
      <c r="B862" s="10"/>
      <c r="C862" s="10">
        <v>1</v>
      </c>
      <c r="D862" s="11">
        <v>42233</v>
      </c>
      <c r="E862" s="12">
        <v>43530</v>
      </c>
      <c r="F862" s="26" t="str">
        <f t="shared" si="26"/>
        <v>42 : 17</v>
      </c>
      <c r="G862" s="14">
        <f t="shared" si="27"/>
        <v>1297</v>
      </c>
      <c r="H862" s="22">
        <v>4</v>
      </c>
      <c r="I862" s="9" t="s">
        <v>117</v>
      </c>
      <c r="J862" s="9" t="s">
        <v>30</v>
      </c>
      <c r="K862" s="9" t="s">
        <v>40</v>
      </c>
      <c r="L862" s="20">
        <v>-0.5</v>
      </c>
      <c r="M862" s="14">
        <v>-0.5</v>
      </c>
      <c r="AD862" s="14">
        <v>0</v>
      </c>
      <c r="AE862" s="14">
        <v>1</v>
      </c>
      <c r="AG862" s="14" t="s">
        <v>53</v>
      </c>
    </row>
    <row r="863" spans="1:33" s="14" customFormat="1" x14ac:dyDescent="0.25">
      <c r="A863" s="10" t="s">
        <v>1032</v>
      </c>
      <c r="B863" s="10"/>
      <c r="C863" s="10">
        <v>1</v>
      </c>
      <c r="D863" s="11">
        <v>42233</v>
      </c>
      <c r="E863" s="12">
        <v>43530</v>
      </c>
      <c r="F863" s="26" t="str">
        <f t="shared" si="26"/>
        <v>42 : 17</v>
      </c>
      <c r="G863" s="14">
        <f t="shared" si="27"/>
        <v>1297</v>
      </c>
      <c r="H863" s="22">
        <v>4</v>
      </c>
      <c r="I863" s="9" t="s">
        <v>121</v>
      </c>
      <c r="J863" s="9" t="s">
        <v>33</v>
      </c>
      <c r="K863" s="9" t="s">
        <v>33</v>
      </c>
      <c r="L863" s="20">
        <v>-0.5</v>
      </c>
      <c r="M863" s="14">
        <v>0.5</v>
      </c>
      <c r="AD863" s="14">
        <v>0</v>
      </c>
      <c r="AE863" s="14">
        <v>1</v>
      </c>
      <c r="AG863" s="14" t="s">
        <v>1038</v>
      </c>
    </row>
    <row r="864" spans="1:33" s="14" customFormat="1" x14ac:dyDescent="0.25">
      <c r="A864" s="10" t="s">
        <v>1032</v>
      </c>
      <c r="B864" s="10"/>
      <c r="C864" s="10">
        <v>1</v>
      </c>
      <c r="D864" s="11">
        <v>42233</v>
      </c>
      <c r="E864" s="12">
        <v>43530</v>
      </c>
      <c r="F864" s="26" t="str">
        <f t="shared" si="26"/>
        <v>42 : 17</v>
      </c>
      <c r="G864" s="14">
        <f t="shared" si="27"/>
        <v>1297</v>
      </c>
      <c r="H864" s="22">
        <v>4</v>
      </c>
      <c r="I864" s="9" t="s">
        <v>124</v>
      </c>
      <c r="J864" s="9" t="s">
        <v>40</v>
      </c>
      <c r="K864" s="9" t="s">
        <v>40</v>
      </c>
      <c r="L864" s="20">
        <v>0.5</v>
      </c>
      <c r="M864" s="14">
        <v>0.5</v>
      </c>
      <c r="R864" s="14">
        <v>1</v>
      </c>
      <c r="Y864" s="14">
        <v>1</v>
      </c>
      <c r="AD864" s="14">
        <v>0</v>
      </c>
      <c r="AE864" s="14">
        <v>0</v>
      </c>
      <c r="AF864" s="14" t="s">
        <v>1039</v>
      </c>
      <c r="AG864" s="14" t="s">
        <v>84</v>
      </c>
    </row>
    <row r="865" spans="1:34" s="14" customFormat="1" x14ac:dyDescent="0.25">
      <c r="A865" s="10" t="s">
        <v>1032</v>
      </c>
      <c r="B865" s="10"/>
      <c r="C865" s="10">
        <v>1</v>
      </c>
      <c r="D865" s="11">
        <v>42233</v>
      </c>
      <c r="E865" s="12">
        <v>43530</v>
      </c>
      <c r="F865" s="26" t="str">
        <f t="shared" si="26"/>
        <v>42 : 17</v>
      </c>
      <c r="G865" s="14">
        <f t="shared" si="27"/>
        <v>1297</v>
      </c>
      <c r="H865" s="22">
        <v>4</v>
      </c>
      <c r="I865" s="9" t="s">
        <v>127</v>
      </c>
      <c r="J865" s="9" t="s">
        <v>39</v>
      </c>
      <c r="K865" s="9" t="s">
        <v>30</v>
      </c>
      <c r="L865" s="20">
        <v>-0.5</v>
      </c>
      <c r="M865" s="14">
        <v>-0.5</v>
      </c>
      <c r="AD865" s="14">
        <v>0</v>
      </c>
      <c r="AE865" s="14">
        <v>1</v>
      </c>
      <c r="AG865" s="14" t="s">
        <v>313</v>
      </c>
    </row>
    <row r="866" spans="1:34" s="14" customFormat="1" x14ac:dyDescent="0.25">
      <c r="A866" s="10" t="s">
        <v>1040</v>
      </c>
      <c r="B866" s="10"/>
      <c r="C866" s="10">
        <v>0</v>
      </c>
      <c r="D866" s="11">
        <v>42211</v>
      </c>
      <c r="E866" s="12">
        <v>43504</v>
      </c>
      <c r="F866" s="26" t="str">
        <f t="shared" si="26"/>
        <v>42 : 13</v>
      </c>
      <c r="G866" s="14">
        <f t="shared" si="27"/>
        <v>1293</v>
      </c>
      <c r="H866" s="9">
        <v>8</v>
      </c>
      <c r="I866" s="9" t="s">
        <v>143</v>
      </c>
      <c r="J866" s="9" t="s">
        <v>40</v>
      </c>
      <c r="K866" s="9" t="s">
        <v>39</v>
      </c>
      <c r="L866" s="20">
        <v>-0.5</v>
      </c>
      <c r="M866" s="14">
        <v>-0.5</v>
      </c>
      <c r="S866" s="14">
        <v>0</v>
      </c>
      <c r="Y866" s="14">
        <v>1</v>
      </c>
      <c r="AA866" s="14">
        <v>1</v>
      </c>
      <c r="AD866" s="13"/>
      <c r="AE866" s="13"/>
      <c r="AF866" s="14" t="s">
        <v>1041</v>
      </c>
      <c r="AG866" s="14" t="s">
        <v>177</v>
      </c>
    </row>
    <row r="867" spans="1:34" s="14" customFormat="1" x14ac:dyDescent="0.25">
      <c r="A867" s="10" t="s">
        <v>1040</v>
      </c>
      <c r="B867" s="10"/>
      <c r="C867" s="10">
        <v>0</v>
      </c>
      <c r="D867" s="11">
        <v>42211</v>
      </c>
      <c r="E867" s="12">
        <v>43504</v>
      </c>
      <c r="F867" s="26" t="str">
        <f t="shared" si="26"/>
        <v>42 : 13</v>
      </c>
      <c r="G867" s="14">
        <f t="shared" si="27"/>
        <v>1293</v>
      </c>
      <c r="H867" s="9">
        <v>8</v>
      </c>
      <c r="I867" s="9" t="s">
        <v>145</v>
      </c>
      <c r="J867" s="9" t="s">
        <v>35</v>
      </c>
      <c r="K867" s="9" t="s">
        <v>33</v>
      </c>
      <c r="L867" s="20">
        <v>0.5</v>
      </c>
      <c r="M867" s="14">
        <v>-0.5</v>
      </c>
      <c r="V867" s="14" t="s">
        <v>261</v>
      </c>
      <c r="W867" s="14">
        <v>1</v>
      </c>
      <c r="Y867" s="14">
        <v>1</v>
      </c>
      <c r="AA867" s="14">
        <v>1</v>
      </c>
      <c r="AF867" s="14" t="s">
        <v>1042</v>
      </c>
      <c r="AG867" s="14" t="s">
        <v>1043</v>
      </c>
    </row>
    <row r="868" spans="1:34" s="14" customFormat="1" x14ac:dyDescent="0.25">
      <c r="A868" s="10" t="s">
        <v>1040</v>
      </c>
      <c r="B868" s="10"/>
      <c r="C868" s="10">
        <v>0</v>
      </c>
      <c r="D868" s="11">
        <v>42211</v>
      </c>
      <c r="E868" s="12">
        <v>43504</v>
      </c>
      <c r="F868" s="26" t="str">
        <f t="shared" si="26"/>
        <v>42 : 13</v>
      </c>
      <c r="G868" s="14">
        <f t="shared" si="27"/>
        <v>1293</v>
      </c>
      <c r="H868" s="9">
        <v>8</v>
      </c>
      <c r="I868" s="9" t="s">
        <v>146</v>
      </c>
      <c r="J868" s="9" t="s">
        <v>32</v>
      </c>
      <c r="K868" s="9" t="s">
        <v>32</v>
      </c>
      <c r="L868" s="20">
        <v>-0.5</v>
      </c>
      <c r="M868" s="14">
        <v>0.5</v>
      </c>
      <c r="V868" s="14" t="s">
        <v>261</v>
      </c>
      <c r="W868" s="14">
        <v>1</v>
      </c>
      <c r="Y868" s="14">
        <v>1</v>
      </c>
      <c r="AA868" s="14">
        <v>1</v>
      </c>
      <c r="AF868" s="14" t="s">
        <v>1044</v>
      </c>
      <c r="AG868" s="14" t="s">
        <v>1045</v>
      </c>
    </row>
    <row r="869" spans="1:34" s="14" customFormat="1" x14ac:dyDescent="0.25">
      <c r="A869" s="10" t="s">
        <v>1040</v>
      </c>
      <c r="B869" s="10"/>
      <c r="C869" s="10">
        <v>0</v>
      </c>
      <c r="D869" s="11">
        <v>42211</v>
      </c>
      <c r="E869" s="12">
        <v>43504</v>
      </c>
      <c r="F869" s="26" t="str">
        <f t="shared" si="26"/>
        <v>42 : 13</v>
      </c>
      <c r="G869" s="14">
        <f t="shared" si="27"/>
        <v>1293</v>
      </c>
      <c r="H869" s="9">
        <v>8</v>
      </c>
      <c r="I869" s="9" t="s">
        <v>147</v>
      </c>
      <c r="J869" s="9" t="s">
        <v>35</v>
      </c>
      <c r="K869" s="9" t="s">
        <v>35</v>
      </c>
      <c r="L869" s="20">
        <v>-0.5</v>
      </c>
      <c r="M869" s="14">
        <v>0.5</v>
      </c>
      <c r="V869" s="14" t="s">
        <v>261</v>
      </c>
      <c r="W869" s="14">
        <v>1</v>
      </c>
      <c r="AA869" s="14">
        <v>1</v>
      </c>
      <c r="AF869" s="14" t="s">
        <v>1046</v>
      </c>
      <c r="AG869" s="14" t="s">
        <v>1047</v>
      </c>
    </row>
    <row r="870" spans="1:34" s="14" customFormat="1" x14ac:dyDescent="0.25">
      <c r="A870" s="10" t="s">
        <v>1040</v>
      </c>
      <c r="B870" s="10"/>
      <c r="C870" s="10">
        <v>0</v>
      </c>
      <c r="D870" s="11">
        <v>42211</v>
      </c>
      <c r="E870" s="12">
        <v>43504</v>
      </c>
      <c r="F870" s="26" t="str">
        <f t="shared" si="26"/>
        <v>42 : 13</v>
      </c>
      <c r="G870" s="14">
        <f t="shared" si="27"/>
        <v>1293</v>
      </c>
      <c r="H870" s="9">
        <v>8</v>
      </c>
      <c r="I870" s="9" t="s">
        <v>148</v>
      </c>
      <c r="J870" s="9" t="s">
        <v>33</v>
      </c>
      <c r="K870" s="9" t="s">
        <v>32</v>
      </c>
      <c r="L870" s="20">
        <v>0.5</v>
      </c>
      <c r="M870" s="14">
        <v>-0.5</v>
      </c>
      <c r="R870" s="14">
        <v>1</v>
      </c>
      <c r="Y870" s="14">
        <v>1</v>
      </c>
      <c r="AD870" s="14">
        <v>1</v>
      </c>
      <c r="AE870" s="14">
        <v>1</v>
      </c>
      <c r="AF870" s="14" t="s">
        <v>1048</v>
      </c>
      <c r="AG870" s="14" t="s">
        <v>1049</v>
      </c>
    </row>
    <row r="871" spans="1:34" s="14" customFormat="1" x14ac:dyDescent="0.25">
      <c r="A871" s="10" t="s">
        <v>1040</v>
      </c>
      <c r="B871" s="10"/>
      <c r="C871" s="10">
        <v>0</v>
      </c>
      <c r="D871" s="11">
        <v>42211</v>
      </c>
      <c r="E871" s="12">
        <v>43504</v>
      </c>
      <c r="F871" s="26" t="str">
        <f t="shared" si="26"/>
        <v>42 : 13</v>
      </c>
      <c r="G871" s="14">
        <f t="shared" si="27"/>
        <v>1293</v>
      </c>
      <c r="H871" s="9">
        <v>8</v>
      </c>
      <c r="I871" s="9" t="s">
        <v>152</v>
      </c>
      <c r="J871" s="9" t="s">
        <v>30</v>
      </c>
      <c r="K871" s="9" t="s">
        <v>30</v>
      </c>
      <c r="L871" s="20">
        <v>0.5</v>
      </c>
      <c r="M871" s="14">
        <v>0.5</v>
      </c>
      <c r="V871" s="14" t="s">
        <v>261</v>
      </c>
      <c r="W871" s="14">
        <v>1</v>
      </c>
      <c r="AA871" s="14">
        <v>1</v>
      </c>
      <c r="AF871" s="14" t="s">
        <v>1050</v>
      </c>
      <c r="AG871" s="14" t="s">
        <v>1051</v>
      </c>
    </row>
    <row r="872" spans="1:34" s="14" customFormat="1" x14ac:dyDescent="0.25">
      <c r="A872" s="10" t="s">
        <v>1040</v>
      </c>
      <c r="B872" s="10"/>
      <c r="C872" s="10">
        <v>0</v>
      </c>
      <c r="D872" s="11">
        <v>42211</v>
      </c>
      <c r="E872" s="12">
        <v>43504</v>
      </c>
      <c r="F872" s="26" t="str">
        <f t="shared" si="26"/>
        <v>42 : 13</v>
      </c>
      <c r="G872" s="14">
        <f t="shared" si="27"/>
        <v>1293</v>
      </c>
      <c r="H872" s="9">
        <v>8</v>
      </c>
      <c r="I872" s="9" t="s">
        <v>153</v>
      </c>
      <c r="J872" s="9" t="s">
        <v>39</v>
      </c>
      <c r="K872" s="9" t="s">
        <v>39</v>
      </c>
      <c r="L872" s="20">
        <v>-0.5</v>
      </c>
      <c r="M872" s="9">
        <v>0.5</v>
      </c>
      <c r="O872" s="14">
        <v>1</v>
      </c>
      <c r="AA872" s="14">
        <v>1</v>
      </c>
      <c r="AF872" s="14" t="s">
        <v>1052</v>
      </c>
      <c r="AG872" s="14" t="s">
        <v>1052</v>
      </c>
    </row>
    <row r="873" spans="1:34" s="14" customFormat="1" x14ac:dyDescent="0.25">
      <c r="A873" s="10" t="s">
        <v>1040</v>
      </c>
      <c r="B873" s="10"/>
      <c r="C873" s="10">
        <v>0</v>
      </c>
      <c r="D873" s="11">
        <v>42211</v>
      </c>
      <c r="E873" s="12">
        <v>43504</v>
      </c>
      <c r="F873" s="26" t="str">
        <f t="shared" si="26"/>
        <v>42 : 13</v>
      </c>
      <c r="G873" s="14">
        <f t="shared" si="27"/>
        <v>1293</v>
      </c>
      <c r="H873" s="9">
        <v>8</v>
      </c>
      <c r="I873" s="9" t="s">
        <v>154</v>
      </c>
      <c r="J873" s="9" t="s">
        <v>40</v>
      </c>
      <c r="K873" s="9" t="s">
        <v>40</v>
      </c>
      <c r="L873" s="20">
        <v>0.5</v>
      </c>
      <c r="M873" s="14">
        <v>0.5</v>
      </c>
      <c r="AA873" s="14">
        <v>1</v>
      </c>
      <c r="AF873" s="14" t="s">
        <v>1053</v>
      </c>
      <c r="AG873" s="14" t="s">
        <v>132</v>
      </c>
    </row>
    <row r="874" spans="1:34" s="14" customFormat="1" x14ac:dyDescent="0.25">
      <c r="A874" s="10" t="s">
        <v>1040</v>
      </c>
      <c r="B874" s="10"/>
      <c r="C874" s="10">
        <v>0</v>
      </c>
      <c r="D874" s="11">
        <v>42211</v>
      </c>
      <c r="E874" s="12">
        <v>43504</v>
      </c>
      <c r="F874" s="26" t="str">
        <f t="shared" ref="F874:F937" si="28">DATEDIF(D874,E874,"M")&amp;" : "&amp;DATEDIF(D874,E874,"MD")</f>
        <v>42 : 13</v>
      </c>
      <c r="G874" s="14">
        <f t="shared" ref="G874:G937" si="29">DATEDIF(D874,E874,"D")</f>
        <v>1293</v>
      </c>
      <c r="H874" s="9">
        <v>8</v>
      </c>
      <c r="I874" s="9" t="s">
        <v>155</v>
      </c>
      <c r="J874" s="9" t="s">
        <v>33</v>
      </c>
      <c r="K874" s="9" t="s">
        <v>33</v>
      </c>
      <c r="L874" s="20">
        <v>-0.5</v>
      </c>
      <c r="M874" s="14">
        <v>0.5</v>
      </c>
      <c r="R874" s="14">
        <v>1</v>
      </c>
      <c r="V874" s="14" t="s">
        <v>261</v>
      </c>
      <c r="W874" s="14">
        <v>1</v>
      </c>
      <c r="Y874" s="14">
        <v>1</v>
      </c>
      <c r="AA874" s="14">
        <v>1</v>
      </c>
      <c r="AD874" s="13"/>
      <c r="AE874" s="13"/>
      <c r="AF874" s="14" t="s">
        <v>1054</v>
      </c>
      <c r="AG874" s="14" t="s">
        <v>1055</v>
      </c>
      <c r="AH874" s="14" t="s">
        <v>280</v>
      </c>
    </row>
    <row r="875" spans="1:34" s="14" customFormat="1" x14ac:dyDescent="0.25">
      <c r="A875" s="10" t="s">
        <v>1040</v>
      </c>
      <c r="B875" s="10"/>
      <c r="C875" s="10">
        <v>0</v>
      </c>
      <c r="D875" s="11">
        <v>42211</v>
      </c>
      <c r="E875" s="12">
        <v>43504</v>
      </c>
      <c r="F875" s="26" t="str">
        <f t="shared" si="28"/>
        <v>42 : 13</v>
      </c>
      <c r="G875" s="14">
        <f t="shared" si="29"/>
        <v>1293</v>
      </c>
      <c r="H875" s="9">
        <v>8</v>
      </c>
      <c r="I875" s="9" t="s">
        <v>156</v>
      </c>
      <c r="J875" s="9" t="s">
        <v>30</v>
      </c>
      <c r="K875" s="9" t="s">
        <v>40</v>
      </c>
      <c r="L875" s="20">
        <v>-0.5</v>
      </c>
      <c r="M875" s="14">
        <v>-0.5</v>
      </c>
      <c r="AD875" s="14">
        <v>0</v>
      </c>
      <c r="AE875" s="14">
        <v>1</v>
      </c>
      <c r="AF875" s="14" t="s">
        <v>1056</v>
      </c>
      <c r="AG875" s="14" t="s">
        <v>1057</v>
      </c>
      <c r="AH875" s="14" t="s">
        <v>280</v>
      </c>
    </row>
    <row r="876" spans="1:34" s="14" customFormat="1" x14ac:dyDescent="0.25">
      <c r="A876" s="10" t="s">
        <v>1040</v>
      </c>
      <c r="B876" s="10"/>
      <c r="C876" s="10">
        <v>0</v>
      </c>
      <c r="D876" s="11">
        <v>42211</v>
      </c>
      <c r="E876" s="12">
        <v>43504</v>
      </c>
      <c r="F876" s="26" t="str">
        <f t="shared" si="28"/>
        <v>42 : 13</v>
      </c>
      <c r="G876" s="14">
        <f t="shared" si="29"/>
        <v>1293</v>
      </c>
      <c r="H876" s="9">
        <v>8</v>
      </c>
      <c r="I876" s="9" t="s">
        <v>157</v>
      </c>
      <c r="J876" s="9" t="s">
        <v>32</v>
      </c>
      <c r="K876" s="9" t="s">
        <v>35</v>
      </c>
      <c r="L876" s="20">
        <v>0.5</v>
      </c>
      <c r="M876" s="14">
        <v>-0.5</v>
      </c>
      <c r="V876" s="14" t="s">
        <v>261</v>
      </c>
      <c r="W876" s="14">
        <v>1</v>
      </c>
      <c r="Y876" s="14">
        <v>1</v>
      </c>
      <c r="AA876" s="14">
        <v>1</v>
      </c>
      <c r="AF876" s="14" t="s">
        <v>1058</v>
      </c>
      <c r="AG876" s="14" t="s">
        <v>1059</v>
      </c>
    </row>
    <row r="877" spans="1:34" s="14" customFormat="1" x14ac:dyDescent="0.25">
      <c r="A877" s="10" t="s">
        <v>1040</v>
      </c>
      <c r="B877" s="10"/>
      <c r="C877" s="10">
        <v>0</v>
      </c>
      <c r="D877" s="11">
        <v>42211</v>
      </c>
      <c r="E877" s="12">
        <v>43504</v>
      </c>
      <c r="F877" s="26" t="str">
        <f t="shared" si="28"/>
        <v>42 : 13</v>
      </c>
      <c r="G877" s="14">
        <f t="shared" si="29"/>
        <v>1293</v>
      </c>
      <c r="H877" s="9">
        <v>8</v>
      </c>
      <c r="I877" s="9" t="s">
        <v>158</v>
      </c>
      <c r="J877" s="9" t="s">
        <v>39</v>
      </c>
      <c r="K877" s="9" t="s">
        <v>39</v>
      </c>
      <c r="L877" s="20">
        <v>0.5</v>
      </c>
      <c r="M877" s="14">
        <v>0.5</v>
      </c>
      <c r="R877" s="14">
        <v>1</v>
      </c>
      <c r="Y877" s="14">
        <v>1</v>
      </c>
      <c r="AA877" s="14">
        <v>1</v>
      </c>
      <c r="AF877" s="14" t="s">
        <v>1060</v>
      </c>
      <c r="AG877" s="14" t="s">
        <v>1061</v>
      </c>
    </row>
    <row r="878" spans="1:34" s="14" customFormat="1" x14ac:dyDescent="0.25">
      <c r="A878" s="10" t="s">
        <v>1062</v>
      </c>
      <c r="B878" s="10"/>
      <c r="C878" s="10">
        <v>1</v>
      </c>
      <c r="D878" s="11">
        <v>42231</v>
      </c>
      <c r="E878" s="12">
        <v>43531</v>
      </c>
      <c r="F878" s="26" t="str">
        <f t="shared" si="28"/>
        <v>42 : 20</v>
      </c>
      <c r="G878" s="14">
        <f t="shared" si="29"/>
        <v>1300</v>
      </c>
      <c r="H878" s="9">
        <v>5</v>
      </c>
      <c r="I878" s="9">
        <v>6</v>
      </c>
      <c r="J878" s="9" t="s">
        <v>39</v>
      </c>
      <c r="K878" s="9" t="s">
        <v>40</v>
      </c>
      <c r="L878" s="20">
        <v>0.5</v>
      </c>
      <c r="M878" s="14">
        <v>-0.5</v>
      </c>
      <c r="Y878" s="14">
        <v>1</v>
      </c>
      <c r="AA878" s="14">
        <v>1</v>
      </c>
      <c r="AD878" s="13"/>
      <c r="AE878" s="13"/>
      <c r="AF878" s="14" t="s">
        <v>1063</v>
      </c>
      <c r="AG878" s="14" t="s">
        <v>1064</v>
      </c>
    </row>
    <row r="879" spans="1:34" s="14" customFormat="1" x14ac:dyDescent="0.25">
      <c r="A879" s="10" t="s">
        <v>1062</v>
      </c>
      <c r="B879" s="10"/>
      <c r="C879" s="10">
        <v>1</v>
      </c>
      <c r="D879" s="11">
        <v>42231</v>
      </c>
      <c r="E879" s="12">
        <v>43531</v>
      </c>
      <c r="F879" s="26" t="str">
        <f t="shared" si="28"/>
        <v>42 : 20</v>
      </c>
      <c r="G879" s="14">
        <f t="shared" si="29"/>
        <v>1300</v>
      </c>
      <c r="H879" s="9">
        <v>5</v>
      </c>
      <c r="I879" s="9">
        <v>5</v>
      </c>
      <c r="J879" s="9" t="s">
        <v>33</v>
      </c>
      <c r="K879" s="9" t="s">
        <v>35</v>
      </c>
      <c r="L879" s="20">
        <v>-0.5</v>
      </c>
      <c r="M879" s="14">
        <v>-0.5</v>
      </c>
      <c r="R879" s="14">
        <v>1</v>
      </c>
      <c r="V879" s="14" t="s">
        <v>261</v>
      </c>
      <c r="W879" s="14">
        <v>1</v>
      </c>
      <c r="Y879" s="14">
        <v>1</v>
      </c>
      <c r="AA879" s="14">
        <v>1</v>
      </c>
      <c r="AF879" s="14" t="s">
        <v>1065</v>
      </c>
      <c r="AG879" s="14" t="s">
        <v>1066</v>
      </c>
    </row>
    <row r="880" spans="1:34" s="14" customFormat="1" x14ac:dyDescent="0.25">
      <c r="A880" s="10" t="s">
        <v>1062</v>
      </c>
      <c r="B880" s="10"/>
      <c r="C880" s="10">
        <v>1</v>
      </c>
      <c r="D880" s="11">
        <v>42231</v>
      </c>
      <c r="E880" s="12">
        <v>43531</v>
      </c>
      <c r="F880" s="26" t="str">
        <f t="shared" si="28"/>
        <v>42 : 20</v>
      </c>
      <c r="G880" s="14">
        <f t="shared" si="29"/>
        <v>1300</v>
      </c>
      <c r="H880" s="9">
        <v>5</v>
      </c>
      <c r="I880" s="9">
        <v>4</v>
      </c>
      <c r="J880" s="9" t="s">
        <v>32</v>
      </c>
      <c r="K880" s="9" t="s">
        <v>32</v>
      </c>
      <c r="L880" s="20">
        <v>0.5</v>
      </c>
      <c r="M880" s="14">
        <v>0.5</v>
      </c>
      <c r="Y880" s="14">
        <v>1</v>
      </c>
      <c r="AA880" s="14">
        <v>1</v>
      </c>
      <c r="AD880" s="13"/>
      <c r="AE880" s="13"/>
      <c r="AF880" s="14" t="s">
        <v>1067</v>
      </c>
      <c r="AG880" s="14" t="s">
        <v>1068</v>
      </c>
    </row>
    <row r="881" spans="1:34" s="14" customFormat="1" x14ac:dyDescent="0.25">
      <c r="A881" s="10" t="s">
        <v>1062</v>
      </c>
      <c r="B881" s="10"/>
      <c r="C881" s="10">
        <v>1</v>
      </c>
      <c r="D881" s="11">
        <v>42231</v>
      </c>
      <c r="E881" s="12">
        <v>43531</v>
      </c>
      <c r="F881" s="26" t="str">
        <f t="shared" si="28"/>
        <v>42 : 20</v>
      </c>
      <c r="G881" s="14">
        <f t="shared" si="29"/>
        <v>1300</v>
      </c>
      <c r="H881" s="9">
        <v>5</v>
      </c>
      <c r="I881" s="9">
        <v>3</v>
      </c>
      <c r="J881" s="9" t="s">
        <v>35</v>
      </c>
      <c r="K881" s="9" t="s">
        <v>35</v>
      </c>
      <c r="L881" s="20">
        <v>0.5</v>
      </c>
      <c r="M881" s="14">
        <v>0.5</v>
      </c>
      <c r="Q881" s="14">
        <v>1</v>
      </c>
      <c r="R881" s="14">
        <v>1</v>
      </c>
      <c r="S881" s="14">
        <v>1</v>
      </c>
      <c r="Y881" s="14">
        <v>1</v>
      </c>
      <c r="AA881" s="14">
        <v>1</v>
      </c>
      <c r="AD881" s="13"/>
      <c r="AE881" s="13"/>
      <c r="AF881" s="14" t="s">
        <v>1069</v>
      </c>
      <c r="AG881" s="14" t="s">
        <v>1070</v>
      </c>
    </row>
    <row r="882" spans="1:34" s="14" customFormat="1" x14ac:dyDescent="0.25">
      <c r="A882" s="10" t="s">
        <v>1062</v>
      </c>
      <c r="B882" s="10"/>
      <c r="C882" s="10">
        <v>1</v>
      </c>
      <c r="D882" s="11">
        <v>42231</v>
      </c>
      <c r="E882" s="12">
        <v>43531</v>
      </c>
      <c r="F882" s="26" t="str">
        <f t="shared" si="28"/>
        <v>42 : 20</v>
      </c>
      <c r="G882" s="14">
        <f t="shared" si="29"/>
        <v>1300</v>
      </c>
      <c r="H882" s="9">
        <v>5</v>
      </c>
      <c r="I882" s="9">
        <v>2</v>
      </c>
      <c r="J882" s="9" t="s">
        <v>32</v>
      </c>
      <c r="K882" s="9" t="s">
        <v>33</v>
      </c>
      <c r="L882" s="20">
        <v>-0.5</v>
      </c>
      <c r="M882" s="14">
        <v>-0.5</v>
      </c>
      <c r="R882" s="14">
        <v>1</v>
      </c>
      <c r="S882" s="14">
        <v>1</v>
      </c>
      <c r="Y882" s="14">
        <v>1</v>
      </c>
      <c r="AA882" s="14">
        <v>1</v>
      </c>
      <c r="AC882" s="14">
        <v>1</v>
      </c>
      <c r="AD882" s="13"/>
      <c r="AE882" s="13"/>
      <c r="AF882" s="14" t="s">
        <v>1071</v>
      </c>
      <c r="AG882" s="14" t="s">
        <v>1072</v>
      </c>
    </row>
    <row r="883" spans="1:34" s="14" customFormat="1" x14ac:dyDescent="0.25">
      <c r="A883" s="10" t="s">
        <v>1062</v>
      </c>
      <c r="B883" s="10"/>
      <c r="C883" s="10">
        <v>1</v>
      </c>
      <c r="D883" s="11">
        <v>42231</v>
      </c>
      <c r="E883" s="12">
        <v>43531</v>
      </c>
      <c r="F883" s="26" t="str">
        <f t="shared" si="28"/>
        <v>42 : 20</v>
      </c>
      <c r="G883" s="14">
        <f t="shared" si="29"/>
        <v>1300</v>
      </c>
      <c r="H883" s="9">
        <v>5</v>
      </c>
      <c r="I883" s="9">
        <v>1</v>
      </c>
      <c r="J883" s="9" t="s">
        <v>30</v>
      </c>
      <c r="K883" s="9" t="s">
        <v>30</v>
      </c>
      <c r="L883" s="20">
        <v>-0.5</v>
      </c>
      <c r="M883" s="14">
        <v>0.5</v>
      </c>
      <c r="Y883" s="14">
        <v>1</v>
      </c>
      <c r="AA883" s="14">
        <v>1</v>
      </c>
      <c r="AD883" s="13"/>
      <c r="AE883" s="13"/>
      <c r="AG883" s="14" t="s">
        <v>1073</v>
      </c>
    </row>
    <row r="884" spans="1:34" s="14" customFormat="1" x14ac:dyDescent="0.25">
      <c r="A884" s="10" t="s">
        <v>1062</v>
      </c>
      <c r="B884" s="10"/>
      <c r="C884" s="10">
        <v>1</v>
      </c>
      <c r="D884" s="11">
        <v>42231</v>
      </c>
      <c r="E884" s="12">
        <v>43531</v>
      </c>
      <c r="F884" s="26" t="str">
        <f t="shared" si="28"/>
        <v>42 : 20</v>
      </c>
      <c r="G884" s="14">
        <f t="shared" si="29"/>
        <v>1300</v>
      </c>
      <c r="H884" s="9">
        <v>5</v>
      </c>
      <c r="I884" s="9">
        <v>12</v>
      </c>
      <c r="J884" s="9" t="s">
        <v>30</v>
      </c>
      <c r="K884" s="9" t="s">
        <v>39</v>
      </c>
      <c r="L884" s="20">
        <v>0.5</v>
      </c>
      <c r="M884" s="14">
        <v>-0.5</v>
      </c>
      <c r="R884" s="14">
        <v>1</v>
      </c>
      <c r="S884" s="14">
        <v>0</v>
      </c>
      <c r="Y884" s="14">
        <v>1</v>
      </c>
      <c r="Z884" s="14">
        <v>1</v>
      </c>
      <c r="AF884" s="14" t="s">
        <v>1074</v>
      </c>
      <c r="AG884" s="14" t="s">
        <v>1075</v>
      </c>
      <c r="AH884" s="14" t="s">
        <v>1076</v>
      </c>
    </row>
    <row r="885" spans="1:34" s="14" customFormat="1" x14ac:dyDescent="0.25">
      <c r="A885" s="10" t="s">
        <v>1062</v>
      </c>
      <c r="B885" s="10"/>
      <c r="C885" s="10">
        <v>1</v>
      </c>
      <c r="D885" s="11">
        <v>42231</v>
      </c>
      <c r="E885" s="12">
        <v>43531</v>
      </c>
      <c r="F885" s="26" t="str">
        <f t="shared" si="28"/>
        <v>42 : 20</v>
      </c>
      <c r="G885" s="14">
        <f t="shared" si="29"/>
        <v>1300</v>
      </c>
      <c r="H885" s="9">
        <v>5</v>
      </c>
      <c r="I885" s="9">
        <v>11</v>
      </c>
      <c r="J885" s="9" t="s">
        <v>40</v>
      </c>
      <c r="K885" s="9" t="s">
        <v>40</v>
      </c>
      <c r="L885" s="20">
        <v>-0.5</v>
      </c>
      <c r="M885" s="14">
        <v>0.5</v>
      </c>
      <c r="AD885" s="14">
        <v>0</v>
      </c>
      <c r="AE885" s="14">
        <v>1</v>
      </c>
      <c r="AF885" s="14" t="s">
        <v>1077</v>
      </c>
      <c r="AG885" s="14" t="s">
        <v>138</v>
      </c>
    </row>
    <row r="886" spans="1:34" s="14" customFormat="1" x14ac:dyDescent="0.25">
      <c r="A886" s="10" t="s">
        <v>1062</v>
      </c>
      <c r="B886" s="10"/>
      <c r="C886" s="10">
        <v>1</v>
      </c>
      <c r="D886" s="11">
        <v>42231</v>
      </c>
      <c r="E886" s="12">
        <v>43531</v>
      </c>
      <c r="F886" s="26" t="str">
        <f t="shared" si="28"/>
        <v>42 : 20</v>
      </c>
      <c r="G886" s="14">
        <f t="shared" si="29"/>
        <v>1300</v>
      </c>
      <c r="H886" s="9">
        <v>5</v>
      </c>
      <c r="I886" s="9">
        <v>10</v>
      </c>
      <c r="J886" s="9" t="s">
        <v>33</v>
      </c>
      <c r="K886" s="9" t="s">
        <v>33</v>
      </c>
      <c r="L886" s="20">
        <v>0.5</v>
      </c>
      <c r="M886" s="14">
        <v>0.5</v>
      </c>
      <c r="Y886" s="14">
        <v>1</v>
      </c>
      <c r="AA886" s="14">
        <v>1</v>
      </c>
      <c r="AC886" s="14">
        <v>1</v>
      </c>
      <c r="AF886" s="14" t="s">
        <v>1078</v>
      </c>
      <c r="AG886" s="14" t="s">
        <v>1079</v>
      </c>
    </row>
    <row r="887" spans="1:34" s="14" customFormat="1" x14ac:dyDescent="0.25">
      <c r="A887" s="10" t="s">
        <v>1062</v>
      </c>
      <c r="B887" s="10"/>
      <c r="C887" s="10">
        <v>1</v>
      </c>
      <c r="D887" s="11">
        <v>42231</v>
      </c>
      <c r="E887" s="12">
        <v>43531</v>
      </c>
      <c r="F887" s="26" t="str">
        <f t="shared" si="28"/>
        <v>42 : 20</v>
      </c>
      <c r="G887" s="14">
        <f t="shared" si="29"/>
        <v>1300</v>
      </c>
      <c r="H887" s="9">
        <v>5</v>
      </c>
      <c r="I887" s="9">
        <v>9</v>
      </c>
      <c r="J887" s="9" t="s">
        <v>40</v>
      </c>
      <c r="K887" s="9" t="s">
        <v>30</v>
      </c>
      <c r="L887" s="20">
        <v>0.5</v>
      </c>
      <c r="M887" s="14">
        <v>-0.5</v>
      </c>
      <c r="AA887" s="14">
        <v>1</v>
      </c>
      <c r="AC887" s="14">
        <v>1</v>
      </c>
      <c r="AF887" s="14" t="s">
        <v>1080</v>
      </c>
      <c r="AG887" s="14" t="s">
        <v>1081</v>
      </c>
    </row>
    <row r="888" spans="1:34" s="14" customFormat="1" x14ac:dyDescent="0.25">
      <c r="A888" s="10" t="s">
        <v>1062</v>
      </c>
      <c r="B888" s="10"/>
      <c r="C888" s="10">
        <v>1</v>
      </c>
      <c r="D888" s="11">
        <v>42231</v>
      </c>
      <c r="E888" s="12">
        <v>43531</v>
      </c>
      <c r="F888" s="26" t="str">
        <f t="shared" si="28"/>
        <v>42 : 20</v>
      </c>
      <c r="G888" s="14">
        <f t="shared" si="29"/>
        <v>1300</v>
      </c>
      <c r="H888" s="9">
        <v>5</v>
      </c>
      <c r="I888" s="9">
        <v>8</v>
      </c>
      <c r="J888" s="9" t="s">
        <v>35</v>
      </c>
      <c r="K888" s="9" t="s">
        <v>32</v>
      </c>
      <c r="L888" s="20">
        <v>-0.5</v>
      </c>
      <c r="M888" s="14">
        <v>-0.5</v>
      </c>
      <c r="S888" s="14">
        <v>0</v>
      </c>
      <c r="T888" s="14">
        <v>1</v>
      </c>
      <c r="Y888" s="14">
        <v>1</v>
      </c>
      <c r="AA888" s="14">
        <v>1</v>
      </c>
      <c r="AC888" s="14">
        <v>1</v>
      </c>
      <c r="AF888" s="14" t="s">
        <v>1082</v>
      </c>
      <c r="AG888" s="14" t="s">
        <v>1083</v>
      </c>
    </row>
    <row r="889" spans="1:34" s="14" customFormat="1" x14ac:dyDescent="0.25">
      <c r="A889" s="10" t="s">
        <v>1062</v>
      </c>
      <c r="B889" s="10"/>
      <c r="C889" s="10">
        <v>1</v>
      </c>
      <c r="D889" s="11">
        <v>42231</v>
      </c>
      <c r="E889" s="12">
        <v>43531</v>
      </c>
      <c r="F889" s="26" t="str">
        <f t="shared" si="28"/>
        <v>42 : 20</v>
      </c>
      <c r="G889" s="14">
        <f t="shared" si="29"/>
        <v>1300</v>
      </c>
      <c r="H889" s="9">
        <v>5</v>
      </c>
      <c r="I889" s="9">
        <v>7</v>
      </c>
      <c r="J889" s="9" t="s">
        <v>39</v>
      </c>
      <c r="K889" s="9" t="s">
        <v>39</v>
      </c>
      <c r="L889" s="20">
        <v>-0.5</v>
      </c>
      <c r="M889" s="14">
        <v>0.5</v>
      </c>
      <c r="R889" s="14">
        <v>1</v>
      </c>
      <c r="T889" s="14">
        <v>1</v>
      </c>
      <c r="Y889" s="14">
        <v>1</v>
      </c>
      <c r="AA889" s="14">
        <v>1</v>
      </c>
      <c r="AC889" s="14">
        <v>1</v>
      </c>
      <c r="AF889" s="14" t="s">
        <v>1084</v>
      </c>
      <c r="AG889" s="14" t="s">
        <v>1085</v>
      </c>
    </row>
    <row r="890" spans="1:34" s="14" customFormat="1" x14ac:dyDescent="0.25">
      <c r="A890" s="10" t="s">
        <v>1086</v>
      </c>
      <c r="B890" s="10"/>
      <c r="C890" s="10">
        <v>0</v>
      </c>
      <c r="D890" s="11">
        <v>42231</v>
      </c>
      <c r="E890" s="12">
        <v>43528</v>
      </c>
      <c r="F890" s="26" t="str">
        <f t="shared" si="28"/>
        <v>42 : 17</v>
      </c>
      <c r="G890" s="14">
        <f t="shared" si="29"/>
        <v>1297</v>
      </c>
      <c r="H890" s="9">
        <v>3</v>
      </c>
      <c r="I890" s="9">
        <v>1</v>
      </c>
      <c r="J890" s="9" t="s">
        <v>30</v>
      </c>
      <c r="K890" s="9" t="s">
        <v>30</v>
      </c>
      <c r="L890" s="15">
        <v>0.5</v>
      </c>
      <c r="M890" s="14">
        <v>0.5</v>
      </c>
      <c r="Y890" s="14">
        <v>1</v>
      </c>
      <c r="Z890" s="14">
        <v>1</v>
      </c>
      <c r="AA890" s="14">
        <v>1</v>
      </c>
      <c r="AD890" s="13"/>
      <c r="AE890" s="13"/>
      <c r="AF890" s="14" t="s">
        <v>1087</v>
      </c>
      <c r="AG890" s="14" t="s">
        <v>1088</v>
      </c>
    </row>
    <row r="891" spans="1:34" s="14" customFormat="1" x14ac:dyDescent="0.25">
      <c r="A891" s="10" t="s">
        <v>1086</v>
      </c>
      <c r="B891" s="10"/>
      <c r="C891" s="10">
        <v>0</v>
      </c>
      <c r="D891" s="11">
        <v>42231</v>
      </c>
      <c r="E891" s="12">
        <v>43528</v>
      </c>
      <c r="F891" s="26" t="str">
        <f t="shared" si="28"/>
        <v>42 : 17</v>
      </c>
      <c r="G891" s="14">
        <f t="shared" si="29"/>
        <v>1297</v>
      </c>
      <c r="H891" s="9">
        <v>3</v>
      </c>
      <c r="I891" s="9">
        <v>2</v>
      </c>
      <c r="J891" s="9" t="s">
        <v>32</v>
      </c>
      <c r="K891" s="9" t="s">
        <v>33</v>
      </c>
      <c r="L891" s="15">
        <v>0.5</v>
      </c>
      <c r="M891" s="14">
        <v>-0.5</v>
      </c>
      <c r="Z891" s="14">
        <v>1</v>
      </c>
      <c r="AA891" s="14">
        <v>1</v>
      </c>
      <c r="AF891" s="14" t="s">
        <v>1089</v>
      </c>
      <c r="AG891" s="14" t="s">
        <v>1090</v>
      </c>
    </row>
    <row r="892" spans="1:34" s="14" customFormat="1" x14ac:dyDescent="0.25">
      <c r="A892" s="10" t="s">
        <v>1086</v>
      </c>
      <c r="B892" s="10"/>
      <c r="C892" s="10">
        <v>0</v>
      </c>
      <c r="D892" s="11">
        <v>42231</v>
      </c>
      <c r="E892" s="12">
        <v>43528</v>
      </c>
      <c r="F892" s="26" t="str">
        <f t="shared" si="28"/>
        <v>42 : 17</v>
      </c>
      <c r="G892" s="14">
        <f t="shared" si="29"/>
        <v>1297</v>
      </c>
      <c r="H892" s="9">
        <v>3</v>
      </c>
      <c r="I892" s="9">
        <v>3</v>
      </c>
      <c r="J892" s="9" t="s">
        <v>35</v>
      </c>
      <c r="K892" s="9" t="s">
        <v>35</v>
      </c>
      <c r="L892" s="15">
        <v>-0.5</v>
      </c>
      <c r="M892" s="14">
        <v>0.5</v>
      </c>
      <c r="V892" s="14" t="s">
        <v>866</v>
      </c>
      <c r="W892" s="14">
        <v>1</v>
      </c>
      <c r="AA892" s="14">
        <v>1</v>
      </c>
      <c r="AG892" s="14" t="s">
        <v>1091</v>
      </c>
    </row>
    <row r="893" spans="1:34" s="14" customFormat="1" x14ac:dyDescent="0.25">
      <c r="A893" s="10" t="s">
        <v>1086</v>
      </c>
      <c r="B893" s="10"/>
      <c r="C893" s="10">
        <v>0</v>
      </c>
      <c r="D893" s="11">
        <v>42231</v>
      </c>
      <c r="E893" s="12">
        <v>43528</v>
      </c>
      <c r="F893" s="26" t="str">
        <f t="shared" si="28"/>
        <v>42 : 17</v>
      </c>
      <c r="G893" s="14">
        <f t="shared" si="29"/>
        <v>1297</v>
      </c>
      <c r="H893" s="9">
        <v>3</v>
      </c>
      <c r="I893" s="9">
        <v>4</v>
      </c>
      <c r="J893" s="9" t="s">
        <v>32</v>
      </c>
      <c r="K893" s="9" t="s">
        <v>32</v>
      </c>
      <c r="L893" s="15">
        <v>-0.5</v>
      </c>
      <c r="M893" s="14">
        <v>0.5</v>
      </c>
      <c r="AA893" s="14">
        <v>1</v>
      </c>
      <c r="AF893" s="14" t="s">
        <v>1092</v>
      </c>
      <c r="AG893" s="14" t="s">
        <v>1093</v>
      </c>
    </row>
    <row r="894" spans="1:34" s="14" customFormat="1" x14ac:dyDescent="0.25">
      <c r="A894" s="10" t="s">
        <v>1086</v>
      </c>
      <c r="B894" s="10"/>
      <c r="C894" s="10">
        <v>0</v>
      </c>
      <c r="D894" s="11">
        <v>42231</v>
      </c>
      <c r="E894" s="12">
        <v>43528</v>
      </c>
      <c r="F894" s="26" t="str">
        <f t="shared" si="28"/>
        <v>42 : 17</v>
      </c>
      <c r="G894" s="14">
        <f t="shared" si="29"/>
        <v>1297</v>
      </c>
      <c r="H894" s="9">
        <v>3</v>
      </c>
      <c r="I894" s="9">
        <v>5</v>
      </c>
      <c r="J894" s="9" t="s">
        <v>33</v>
      </c>
      <c r="K894" s="9" t="s">
        <v>35</v>
      </c>
      <c r="L894" s="15">
        <v>0.5</v>
      </c>
      <c r="M894" s="14">
        <v>-0.5</v>
      </c>
      <c r="AA894" s="14">
        <v>1</v>
      </c>
      <c r="AF894" s="14" t="s">
        <v>1094</v>
      </c>
      <c r="AG894" s="14" t="s">
        <v>132</v>
      </c>
    </row>
    <row r="895" spans="1:34" s="14" customFormat="1" x14ac:dyDescent="0.25">
      <c r="A895" s="10" t="s">
        <v>1086</v>
      </c>
      <c r="B895" s="10"/>
      <c r="C895" s="10">
        <v>0</v>
      </c>
      <c r="D895" s="11">
        <v>42231</v>
      </c>
      <c r="E895" s="12">
        <v>43528</v>
      </c>
      <c r="F895" s="26" t="str">
        <f t="shared" si="28"/>
        <v>42 : 17</v>
      </c>
      <c r="G895" s="14">
        <f t="shared" si="29"/>
        <v>1297</v>
      </c>
      <c r="H895" s="9">
        <v>3</v>
      </c>
      <c r="I895" s="9">
        <v>6</v>
      </c>
      <c r="J895" s="9" t="s">
        <v>39</v>
      </c>
      <c r="K895" s="9" t="s">
        <v>40</v>
      </c>
      <c r="L895" s="15">
        <v>-0.5</v>
      </c>
      <c r="M895" s="14">
        <v>-0.5</v>
      </c>
      <c r="Z895" s="14">
        <v>1</v>
      </c>
      <c r="AA895" s="14">
        <v>1</v>
      </c>
      <c r="AF895" s="14" t="s">
        <v>1095</v>
      </c>
      <c r="AG895" s="14" t="s">
        <v>1096</v>
      </c>
    </row>
    <row r="896" spans="1:34" s="14" customFormat="1" x14ac:dyDescent="0.25">
      <c r="A896" s="10" t="s">
        <v>1086</v>
      </c>
      <c r="B896" s="10"/>
      <c r="C896" s="10">
        <v>0</v>
      </c>
      <c r="D896" s="11">
        <v>42231</v>
      </c>
      <c r="E896" s="12">
        <v>43528</v>
      </c>
      <c r="F896" s="26" t="str">
        <f t="shared" si="28"/>
        <v>42 : 17</v>
      </c>
      <c r="G896" s="14">
        <f t="shared" si="29"/>
        <v>1297</v>
      </c>
      <c r="H896" s="9">
        <v>3</v>
      </c>
      <c r="I896" s="9">
        <v>7</v>
      </c>
      <c r="J896" s="9" t="s">
        <v>39</v>
      </c>
      <c r="K896" s="9" t="s">
        <v>39</v>
      </c>
      <c r="L896" s="15">
        <v>0.5</v>
      </c>
      <c r="M896" s="14">
        <v>0.5</v>
      </c>
      <c r="AA896" s="14">
        <v>1</v>
      </c>
      <c r="AF896" s="14" t="s">
        <v>1097</v>
      </c>
      <c r="AG896" s="14" t="s">
        <v>1098</v>
      </c>
    </row>
    <row r="897" spans="1:34" s="14" customFormat="1" x14ac:dyDescent="0.25">
      <c r="A897" s="10" t="s">
        <v>1086</v>
      </c>
      <c r="B897" s="10"/>
      <c r="C897" s="10">
        <v>0</v>
      </c>
      <c r="D897" s="11">
        <v>42231</v>
      </c>
      <c r="E897" s="12">
        <v>43528</v>
      </c>
      <c r="F897" s="26" t="str">
        <f t="shared" si="28"/>
        <v>42 : 17</v>
      </c>
      <c r="G897" s="14">
        <f t="shared" si="29"/>
        <v>1297</v>
      </c>
      <c r="H897" s="9">
        <v>3</v>
      </c>
      <c r="I897" s="9">
        <v>8</v>
      </c>
      <c r="J897" s="9" t="s">
        <v>35</v>
      </c>
      <c r="K897" s="9" t="s">
        <v>32</v>
      </c>
      <c r="L897" s="15">
        <v>0.5</v>
      </c>
      <c r="M897" s="14">
        <v>-0.5</v>
      </c>
      <c r="Y897" s="14">
        <v>1</v>
      </c>
      <c r="AA897" s="14">
        <v>1</v>
      </c>
      <c r="AG897" s="14" t="s">
        <v>1099</v>
      </c>
    </row>
    <row r="898" spans="1:34" s="14" customFormat="1" x14ac:dyDescent="0.25">
      <c r="A898" s="10" t="s">
        <v>1086</v>
      </c>
      <c r="B898" s="10"/>
      <c r="C898" s="10">
        <v>0</v>
      </c>
      <c r="D898" s="11">
        <v>42231</v>
      </c>
      <c r="E898" s="12">
        <v>43528</v>
      </c>
      <c r="F898" s="26" t="str">
        <f t="shared" si="28"/>
        <v>42 : 17</v>
      </c>
      <c r="G898" s="14">
        <f t="shared" si="29"/>
        <v>1297</v>
      </c>
      <c r="H898" s="9">
        <v>3</v>
      </c>
      <c r="I898" s="9">
        <v>9</v>
      </c>
      <c r="J898" s="9" t="s">
        <v>40</v>
      </c>
      <c r="K898" s="9" t="s">
        <v>30</v>
      </c>
      <c r="L898" s="15">
        <v>-0.5</v>
      </c>
      <c r="M898" s="14">
        <v>-0.5</v>
      </c>
      <c r="Z898" s="14">
        <v>1</v>
      </c>
      <c r="AA898" s="14">
        <v>1</v>
      </c>
      <c r="AD898" s="13"/>
      <c r="AE898" s="13"/>
      <c r="AF898" s="14" t="s">
        <v>1100</v>
      </c>
      <c r="AG898" s="14" t="s">
        <v>1101</v>
      </c>
    </row>
    <row r="899" spans="1:34" s="14" customFormat="1" x14ac:dyDescent="0.25">
      <c r="A899" s="10" t="s">
        <v>1086</v>
      </c>
      <c r="B899" s="10"/>
      <c r="C899" s="10">
        <v>0</v>
      </c>
      <c r="D899" s="11">
        <v>42231</v>
      </c>
      <c r="E899" s="12">
        <v>43528</v>
      </c>
      <c r="F899" s="26" t="str">
        <f t="shared" si="28"/>
        <v>42 : 17</v>
      </c>
      <c r="G899" s="14">
        <f t="shared" si="29"/>
        <v>1297</v>
      </c>
      <c r="H899" s="9">
        <v>3</v>
      </c>
      <c r="I899" s="9">
        <v>10</v>
      </c>
      <c r="J899" s="9" t="s">
        <v>33</v>
      </c>
      <c r="K899" s="9" t="s">
        <v>33</v>
      </c>
      <c r="L899" s="15">
        <v>-0.5</v>
      </c>
      <c r="M899" s="14">
        <v>0.5</v>
      </c>
      <c r="Y899" s="14">
        <v>1</v>
      </c>
      <c r="AA899" s="14">
        <v>1</v>
      </c>
      <c r="AF899" s="14" t="s">
        <v>1102</v>
      </c>
      <c r="AG899" s="14" t="s">
        <v>1103</v>
      </c>
    </row>
    <row r="900" spans="1:34" s="14" customFormat="1" x14ac:dyDescent="0.25">
      <c r="A900" s="10" t="s">
        <v>1086</v>
      </c>
      <c r="B900" s="10"/>
      <c r="C900" s="10">
        <v>0</v>
      </c>
      <c r="D900" s="11">
        <v>42231</v>
      </c>
      <c r="E900" s="12">
        <v>43528</v>
      </c>
      <c r="F900" s="26" t="str">
        <f t="shared" si="28"/>
        <v>42 : 17</v>
      </c>
      <c r="G900" s="14">
        <f t="shared" si="29"/>
        <v>1297</v>
      </c>
      <c r="H900" s="9">
        <v>3</v>
      </c>
      <c r="I900" s="9">
        <v>11</v>
      </c>
      <c r="J900" s="9" t="s">
        <v>40</v>
      </c>
      <c r="K900" s="9" t="s">
        <v>40</v>
      </c>
      <c r="L900" s="15">
        <v>0.5</v>
      </c>
      <c r="M900" s="14">
        <v>0.5</v>
      </c>
      <c r="R900" s="14">
        <v>1</v>
      </c>
      <c r="S900" s="14">
        <v>1</v>
      </c>
      <c r="Z900" s="14">
        <v>1</v>
      </c>
      <c r="AA900" s="14">
        <v>1</v>
      </c>
      <c r="AF900" s="14" t="s">
        <v>1104</v>
      </c>
      <c r="AG900" s="14" t="s">
        <v>1105</v>
      </c>
      <c r="AH900" s="14" t="s">
        <v>1106</v>
      </c>
    </row>
    <row r="901" spans="1:34" s="14" customFormat="1" x14ac:dyDescent="0.25">
      <c r="A901" s="10" t="s">
        <v>1086</v>
      </c>
      <c r="B901" s="10"/>
      <c r="C901" s="10">
        <v>0</v>
      </c>
      <c r="D901" s="11">
        <v>42231</v>
      </c>
      <c r="E901" s="12">
        <v>43528</v>
      </c>
      <c r="F901" s="26" t="str">
        <f t="shared" si="28"/>
        <v>42 : 17</v>
      </c>
      <c r="G901" s="14">
        <f t="shared" si="29"/>
        <v>1297</v>
      </c>
      <c r="H901" s="9">
        <v>3</v>
      </c>
      <c r="I901" s="9">
        <v>12</v>
      </c>
      <c r="J901" s="9" t="s">
        <v>30</v>
      </c>
      <c r="K901" s="9" t="s">
        <v>39</v>
      </c>
      <c r="L901" s="15">
        <v>-0.5</v>
      </c>
      <c r="M901" s="14">
        <v>-0.5</v>
      </c>
      <c r="R901" s="14">
        <v>1</v>
      </c>
      <c r="S901" s="14">
        <v>0</v>
      </c>
      <c r="Y901" s="14">
        <v>1</v>
      </c>
      <c r="AA901" s="14">
        <v>1</v>
      </c>
      <c r="AF901" s="14" t="s">
        <v>1107</v>
      </c>
      <c r="AG901" s="14" t="s">
        <v>1108</v>
      </c>
    </row>
    <row r="902" spans="1:34" s="14" customFormat="1" x14ac:dyDescent="0.25">
      <c r="A902" s="10" t="s">
        <v>1109</v>
      </c>
      <c r="B902" s="10">
        <v>1</v>
      </c>
      <c r="C902" s="10">
        <v>0</v>
      </c>
      <c r="D902" s="11">
        <v>42249</v>
      </c>
      <c r="E902" s="12">
        <v>43545</v>
      </c>
      <c r="F902" s="26" t="str">
        <f t="shared" si="28"/>
        <v>42 : 19</v>
      </c>
      <c r="G902" s="14">
        <f t="shared" si="29"/>
        <v>1296</v>
      </c>
      <c r="H902" s="22">
        <v>2</v>
      </c>
      <c r="I902" s="9" t="s">
        <v>97</v>
      </c>
      <c r="J902" s="9" t="s">
        <v>30</v>
      </c>
      <c r="K902" s="9" t="s">
        <v>30</v>
      </c>
      <c r="L902" s="20">
        <v>-0.5</v>
      </c>
      <c r="M902" s="14">
        <v>0.5</v>
      </c>
      <c r="T902" s="14">
        <v>1</v>
      </c>
      <c r="AD902" s="14">
        <v>0</v>
      </c>
      <c r="AE902" s="14">
        <v>1</v>
      </c>
      <c r="AF902" s="14" t="s">
        <v>1110</v>
      </c>
      <c r="AG902" s="14" t="s">
        <v>1111</v>
      </c>
    </row>
    <row r="903" spans="1:34" s="14" customFormat="1" x14ac:dyDescent="0.25">
      <c r="A903" s="10" t="s">
        <v>1109</v>
      </c>
      <c r="B903" s="10">
        <v>1</v>
      </c>
      <c r="C903" s="10">
        <v>0</v>
      </c>
      <c r="D903" s="11">
        <v>42249</v>
      </c>
      <c r="E903" s="12">
        <v>43545</v>
      </c>
      <c r="F903" s="26" t="str">
        <f t="shared" si="28"/>
        <v>42 : 19</v>
      </c>
      <c r="G903" s="14">
        <f t="shared" si="29"/>
        <v>1296</v>
      </c>
      <c r="H903" s="22">
        <v>2</v>
      </c>
      <c r="I903" s="9" t="s">
        <v>148</v>
      </c>
      <c r="J903" s="9" t="s">
        <v>33</v>
      </c>
      <c r="K903" s="9" t="s">
        <v>32</v>
      </c>
      <c r="L903" s="20">
        <v>-0.5</v>
      </c>
      <c r="M903" s="14">
        <v>-0.5</v>
      </c>
      <c r="AD903" s="14">
        <v>0</v>
      </c>
      <c r="AE903" s="14">
        <v>1</v>
      </c>
      <c r="AG903" s="14" t="s">
        <v>98</v>
      </c>
    </row>
    <row r="904" spans="1:34" s="14" customFormat="1" x14ac:dyDescent="0.25">
      <c r="A904" s="10" t="s">
        <v>1109</v>
      </c>
      <c r="B904" s="10">
        <v>1</v>
      </c>
      <c r="C904" s="10">
        <v>0</v>
      </c>
      <c r="D904" s="11">
        <v>42249</v>
      </c>
      <c r="E904" s="12">
        <v>43545</v>
      </c>
      <c r="F904" s="26" t="str">
        <f t="shared" si="28"/>
        <v>42 : 19</v>
      </c>
      <c r="G904" s="14">
        <f t="shared" si="29"/>
        <v>1296</v>
      </c>
      <c r="H904" s="22">
        <v>2</v>
      </c>
      <c r="I904" s="9" t="s">
        <v>147</v>
      </c>
      <c r="J904" s="9" t="s">
        <v>35</v>
      </c>
      <c r="K904" s="9" t="s">
        <v>35</v>
      </c>
      <c r="L904" s="20">
        <v>0.5</v>
      </c>
      <c r="M904" s="14">
        <v>0.5</v>
      </c>
      <c r="AD904" s="14">
        <v>0</v>
      </c>
      <c r="AE904" s="14">
        <v>0</v>
      </c>
      <c r="AG904" s="14" t="s">
        <v>1112</v>
      </c>
    </row>
    <row r="905" spans="1:34" s="14" customFormat="1" x14ac:dyDescent="0.25">
      <c r="A905" s="10" t="s">
        <v>1109</v>
      </c>
      <c r="B905" s="10">
        <v>1</v>
      </c>
      <c r="C905" s="10">
        <v>0</v>
      </c>
      <c r="D905" s="11">
        <v>42249</v>
      </c>
      <c r="E905" s="12">
        <v>43545</v>
      </c>
      <c r="F905" s="26" t="str">
        <f t="shared" si="28"/>
        <v>42 : 19</v>
      </c>
      <c r="G905" s="14">
        <f t="shared" si="29"/>
        <v>1296</v>
      </c>
      <c r="H905" s="22">
        <v>2</v>
      </c>
      <c r="I905" s="9" t="s">
        <v>146</v>
      </c>
      <c r="J905" s="9" t="s">
        <v>32</v>
      </c>
      <c r="K905" s="9" t="s">
        <v>32</v>
      </c>
      <c r="L905" s="20">
        <v>0.5</v>
      </c>
      <c r="M905" s="14">
        <v>0.5</v>
      </c>
      <c r="AA905" s="14">
        <v>1</v>
      </c>
      <c r="AB905" s="14">
        <v>1</v>
      </c>
      <c r="AD905" s="13"/>
      <c r="AE905" s="13"/>
      <c r="AF905" s="14" t="s">
        <v>1113</v>
      </c>
      <c r="AG905" s="14" t="s">
        <v>175</v>
      </c>
    </row>
    <row r="906" spans="1:34" s="14" customFormat="1" x14ac:dyDescent="0.25">
      <c r="A906" s="10" t="s">
        <v>1109</v>
      </c>
      <c r="B906" s="10">
        <v>1</v>
      </c>
      <c r="C906" s="10">
        <v>0</v>
      </c>
      <c r="D906" s="11">
        <v>42249</v>
      </c>
      <c r="E906" s="12">
        <v>43545</v>
      </c>
      <c r="F906" s="26" t="str">
        <f t="shared" si="28"/>
        <v>42 : 19</v>
      </c>
      <c r="G906" s="14">
        <f t="shared" si="29"/>
        <v>1296</v>
      </c>
      <c r="H906" s="22">
        <v>2</v>
      </c>
      <c r="I906" s="9" t="s">
        <v>145</v>
      </c>
      <c r="J906" s="9" t="s">
        <v>35</v>
      </c>
      <c r="K906" s="9" t="s">
        <v>33</v>
      </c>
      <c r="L906" s="20">
        <v>-0.5</v>
      </c>
      <c r="M906" s="14">
        <v>-0.5</v>
      </c>
      <c r="S906" s="14">
        <v>0</v>
      </c>
      <c r="T906" s="14">
        <v>1</v>
      </c>
      <c r="AD906" s="13">
        <v>0</v>
      </c>
      <c r="AE906" s="13">
        <v>1</v>
      </c>
      <c r="AF906" s="14" t="s">
        <v>1114</v>
      </c>
      <c r="AG906" s="14" t="s">
        <v>1115</v>
      </c>
    </row>
    <row r="907" spans="1:34" s="14" customFormat="1" x14ac:dyDescent="0.25">
      <c r="A907" s="10" t="s">
        <v>1109</v>
      </c>
      <c r="B907" s="10">
        <v>1</v>
      </c>
      <c r="C907" s="10">
        <v>0</v>
      </c>
      <c r="D907" s="11">
        <v>42249</v>
      </c>
      <c r="E907" s="12">
        <v>43545</v>
      </c>
      <c r="F907" s="26" t="str">
        <f t="shared" si="28"/>
        <v>42 : 19</v>
      </c>
      <c r="G907" s="14">
        <f t="shared" si="29"/>
        <v>1296</v>
      </c>
      <c r="H907" s="22">
        <v>2</v>
      </c>
      <c r="I907" s="9" t="s">
        <v>143</v>
      </c>
      <c r="J907" s="9" t="s">
        <v>40</v>
      </c>
      <c r="K907" s="9" t="s">
        <v>39</v>
      </c>
      <c r="L907" s="20">
        <v>0.5</v>
      </c>
      <c r="M907" s="14">
        <v>-0.5</v>
      </c>
      <c r="AD907" s="14">
        <v>0</v>
      </c>
      <c r="AE907" s="14">
        <v>0</v>
      </c>
      <c r="AF907" s="14" t="s">
        <v>1116</v>
      </c>
      <c r="AG907" s="14" t="s">
        <v>340</v>
      </c>
    </row>
    <row r="908" spans="1:34" s="14" customFormat="1" x14ac:dyDescent="0.25">
      <c r="A908" s="10" t="s">
        <v>1109</v>
      </c>
      <c r="B908" s="10">
        <v>1</v>
      </c>
      <c r="C908" s="10">
        <v>0</v>
      </c>
      <c r="D908" s="11">
        <v>42249</v>
      </c>
      <c r="E908" s="12">
        <v>43545</v>
      </c>
      <c r="F908" s="26" t="str">
        <f t="shared" si="28"/>
        <v>42 : 19</v>
      </c>
      <c r="G908" s="14">
        <f t="shared" si="29"/>
        <v>1296</v>
      </c>
      <c r="H908" s="22">
        <v>2</v>
      </c>
      <c r="I908" s="9" t="s">
        <v>158</v>
      </c>
      <c r="J908" s="9" t="s">
        <v>39</v>
      </c>
      <c r="K908" s="9" t="s">
        <v>39</v>
      </c>
      <c r="L908" s="20">
        <v>-0.5</v>
      </c>
      <c r="M908" s="14">
        <v>0.5</v>
      </c>
      <c r="R908" s="14">
        <v>1</v>
      </c>
      <c r="S908" s="14">
        <v>1</v>
      </c>
      <c r="T908" s="14">
        <v>1</v>
      </c>
      <c r="Z908" s="14">
        <v>1</v>
      </c>
      <c r="AA908" s="14">
        <v>1</v>
      </c>
      <c r="AF908" s="14" t="s">
        <v>1117</v>
      </c>
      <c r="AG908" s="14" t="s">
        <v>1118</v>
      </c>
    </row>
    <row r="909" spans="1:34" s="14" customFormat="1" x14ac:dyDescent="0.25">
      <c r="A909" s="10" t="s">
        <v>1109</v>
      </c>
      <c r="B909" s="10">
        <v>1</v>
      </c>
      <c r="C909" s="10">
        <v>0</v>
      </c>
      <c r="D909" s="11">
        <v>42249</v>
      </c>
      <c r="E909" s="12">
        <v>43545</v>
      </c>
      <c r="F909" s="26" t="str">
        <f t="shared" si="28"/>
        <v>42 : 19</v>
      </c>
      <c r="G909" s="14">
        <f t="shared" si="29"/>
        <v>1296</v>
      </c>
      <c r="H909" s="22">
        <v>2</v>
      </c>
      <c r="I909" s="9" t="s">
        <v>157</v>
      </c>
      <c r="J909" s="9" t="s">
        <v>32</v>
      </c>
      <c r="K909" s="9" t="s">
        <v>35</v>
      </c>
      <c r="L909" s="20">
        <v>-0.5</v>
      </c>
      <c r="M909" s="14">
        <v>-0.5</v>
      </c>
      <c r="T909" s="14">
        <v>1</v>
      </c>
      <c r="AD909" s="14">
        <v>0</v>
      </c>
      <c r="AE909" s="14">
        <v>1</v>
      </c>
      <c r="AG909" s="14" t="s">
        <v>1119</v>
      </c>
    </row>
    <row r="910" spans="1:34" s="14" customFormat="1" x14ac:dyDescent="0.25">
      <c r="A910" s="10" t="s">
        <v>1109</v>
      </c>
      <c r="B910" s="10">
        <v>1</v>
      </c>
      <c r="C910" s="10">
        <v>0</v>
      </c>
      <c r="D910" s="11">
        <v>42249</v>
      </c>
      <c r="E910" s="12">
        <v>43545</v>
      </c>
      <c r="F910" s="26" t="str">
        <f t="shared" si="28"/>
        <v>42 : 19</v>
      </c>
      <c r="G910" s="14">
        <f t="shared" si="29"/>
        <v>1296</v>
      </c>
      <c r="H910" s="22">
        <v>2</v>
      </c>
      <c r="I910" s="9" t="s">
        <v>156</v>
      </c>
      <c r="J910" s="9" t="s">
        <v>30</v>
      </c>
      <c r="K910" s="9" t="s">
        <v>40</v>
      </c>
      <c r="L910" s="20">
        <v>0.5</v>
      </c>
      <c r="M910" s="14">
        <v>-0.5</v>
      </c>
      <c r="T910" s="14">
        <v>1</v>
      </c>
      <c r="AD910" s="14">
        <v>0</v>
      </c>
      <c r="AE910" s="14">
        <v>0</v>
      </c>
      <c r="AG910" s="14" t="s">
        <v>1120</v>
      </c>
    </row>
    <row r="911" spans="1:34" s="14" customFormat="1" x14ac:dyDescent="0.25">
      <c r="A911" s="10" t="s">
        <v>1109</v>
      </c>
      <c r="B911" s="10">
        <v>1</v>
      </c>
      <c r="C911" s="10">
        <v>0</v>
      </c>
      <c r="D911" s="11">
        <v>42249</v>
      </c>
      <c r="E911" s="12">
        <v>43545</v>
      </c>
      <c r="F911" s="26" t="str">
        <f t="shared" si="28"/>
        <v>42 : 19</v>
      </c>
      <c r="G911" s="14">
        <f t="shared" si="29"/>
        <v>1296</v>
      </c>
      <c r="H911" s="22">
        <v>2</v>
      </c>
      <c r="I911" s="9" t="s">
        <v>155</v>
      </c>
      <c r="J911" s="9" t="s">
        <v>33</v>
      </c>
      <c r="K911" s="9" t="s">
        <v>33</v>
      </c>
      <c r="L911" s="20">
        <v>0.5</v>
      </c>
      <c r="M911" s="14">
        <v>0.5</v>
      </c>
      <c r="T911" s="14">
        <v>1</v>
      </c>
      <c r="Y911" s="14">
        <v>1</v>
      </c>
      <c r="AD911" s="14">
        <v>0</v>
      </c>
      <c r="AE911" s="14">
        <v>0</v>
      </c>
      <c r="AF911" s="14" t="s">
        <v>1121</v>
      </c>
      <c r="AG911" s="14" t="s">
        <v>1122</v>
      </c>
    </row>
    <row r="912" spans="1:34" s="14" customFormat="1" x14ac:dyDescent="0.25">
      <c r="A912" s="10" t="s">
        <v>1109</v>
      </c>
      <c r="B912" s="10">
        <v>1</v>
      </c>
      <c r="C912" s="10">
        <v>0</v>
      </c>
      <c r="D912" s="11">
        <v>42249</v>
      </c>
      <c r="E912" s="12">
        <v>43545</v>
      </c>
      <c r="F912" s="26" t="str">
        <f t="shared" si="28"/>
        <v>42 : 19</v>
      </c>
      <c r="G912" s="14">
        <f t="shared" si="29"/>
        <v>1296</v>
      </c>
      <c r="H912" s="22">
        <v>2</v>
      </c>
      <c r="I912" s="9" t="s">
        <v>154</v>
      </c>
      <c r="J912" s="9" t="s">
        <v>40</v>
      </c>
      <c r="K912" s="9" t="s">
        <v>40</v>
      </c>
      <c r="L912" s="20">
        <v>-0.5</v>
      </c>
      <c r="M912" s="14">
        <v>0.5</v>
      </c>
      <c r="AD912" s="14">
        <v>0</v>
      </c>
      <c r="AE912" s="14">
        <v>1</v>
      </c>
      <c r="AG912" s="14" t="s">
        <v>515</v>
      </c>
    </row>
    <row r="913" spans="1:34" s="14" customFormat="1" x14ac:dyDescent="0.25">
      <c r="A913" s="10" t="s">
        <v>1109</v>
      </c>
      <c r="B913" s="10">
        <v>1</v>
      </c>
      <c r="C913" s="10">
        <v>0</v>
      </c>
      <c r="D913" s="11">
        <v>42249</v>
      </c>
      <c r="E913" s="12">
        <v>43545</v>
      </c>
      <c r="F913" s="26" t="str">
        <f t="shared" si="28"/>
        <v>42 : 19</v>
      </c>
      <c r="G913" s="14">
        <f t="shared" si="29"/>
        <v>1296</v>
      </c>
      <c r="H913" s="22">
        <v>2</v>
      </c>
      <c r="I913" s="9" t="s">
        <v>153</v>
      </c>
      <c r="J913" s="9" t="s">
        <v>39</v>
      </c>
      <c r="K913" s="9" t="s">
        <v>30</v>
      </c>
      <c r="L913" s="20">
        <v>0.5</v>
      </c>
      <c r="M913" s="14">
        <v>-0.5</v>
      </c>
      <c r="AD913" s="14">
        <v>0</v>
      </c>
      <c r="AE913" s="14">
        <v>0</v>
      </c>
      <c r="AG913" s="14" t="s">
        <v>42</v>
      </c>
    </row>
    <row r="914" spans="1:34" s="14" customFormat="1" x14ac:dyDescent="0.25">
      <c r="A914" s="10" t="s">
        <v>1123</v>
      </c>
      <c r="B914" s="10"/>
      <c r="C914" s="10">
        <v>0</v>
      </c>
      <c r="D914" s="11">
        <v>42243</v>
      </c>
      <c r="E914" s="12">
        <v>43544</v>
      </c>
      <c r="F914" s="26" t="str">
        <f t="shared" si="28"/>
        <v>42 : 21</v>
      </c>
      <c r="G914" s="14">
        <f t="shared" si="29"/>
        <v>1301</v>
      </c>
      <c r="H914" s="9">
        <v>8</v>
      </c>
      <c r="I914" s="9" t="s">
        <v>143</v>
      </c>
      <c r="J914" s="9" t="s">
        <v>40</v>
      </c>
      <c r="K914" s="9" t="s">
        <v>39</v>
      </c>
      <c r="L914" s="20">
        <v>-0.5</v>
      </c>
      <c r="M914" s="14">
        <v>-0.5</v>
      </c>
      <c r="AD914" s="14">
        <v>1</v>
      </c>
      <c r="AE914" s="14">
        <v>0</v>
      </c>
      <c r="AG914" s="14" t="s">
        <v>315</v>
      </c>
    </row>
    <row r="915" spans="1:34" s="14" customFormat="1" x14ac:dyDescent="0.25">
      <c r="A915" s="10" t="s">
        <v>1123</v>
      </c>
      <c r="B915" s="10"/>
      <c r="C915" s="10">
        <v>0</v>
      </c>
      <c r="D915" s="11">
        <v>42243</v>
      </c>
      <c r="E915" s="12">
        <v>43544</v>
      </c>
      <c r="F915" s="26" t="str">
        <f t="shared" si="28"/>
        <v>42 : 21</v>
      </c>
      <c r="G915" s="14">
        <f t="shared" si="29"/>
        <v>1301</v>
      </c>
      <c r="H915" s="9">
        <v>8</v>
      </c>
      <c r="I915" s="9" t="s">
        <v>145</v>
      </c>
      <c r="J915" s="9" t="s">
        <v>35</v>
      </c>
      <c r="K915" s="9" t="s">
        <v>33</v>
      </c>
      <c r="L915" s="20">
        <v>0.5</v>
      </c>
      <c r="M915" s="14">
        <v>-0.5</v>
      </c>
      <c r="AD915" s="14">
        <v>0</v>
      </c>
      <c r="AE915" s="14">
        <v>0</v>
      </c>
      <c r="AG915" s="14" t="s">
        <v>1124</v>
      </c>
    </row>
    <row r="916" spans="1:34" s="14" customFormat="1" x14ac:dyDescent="0.25">
      <c r="A916" s="10" t="s">
        <v>1123</v>
      </c>
      <c r="B916" s="10"/>
      <c r="C916" s="10">
        <v>0</v>
      </c>
      <c r="D916" s="11">
        <v>42243</v>
      </c>
      <c r="E916" s="12">
        <v>43544</v>
      </c>
      <c r="F916" s="26" t="str">
        <f t="shared" si="28"/>
        <v>42 : 21</v>
      </c>
      <c r="G916" s="14">
        <f t="shared" si="29"/>
        <v>1301</v>
      </c>
      <c r="H916" s="9">
        <v>8</v>
      </c>
      <c r="I916" s="9" t="s">
        <v>146</v>
      </c>
      <c r="J916" s="9" t="s">
        <v>32</v>
      </c>
      <c r="K916" s="9" t="s">
        <v>32</v>
      </c>
      <c r="L916" s="20">
        <v>-0.5</v>
      </c>
      <c r="M916" s="14">
        <v>0.5</v>
      </c>
      <c r="R916" s="14">
        <v>1</v>
      </c>
      <c r="Y916" s="14">
        <v>1</v>
      </c>
      <c r="AA916" s="14">
        <v>1</v>
      </c>
      <c r="AF916" s="14" t="s">
        <v>1125</v>
      </c>
      <c r="AG916" s="14" t="s">
        <v>1126</v>
      </c>
    </row>
    <row r="917" spans="1:34" s="14" customFormat="1" x14ac:dyDescent="0.25">
      <c r="A917" s="10" t="s">
        <v>1123</v>
      </c>
      <c r="B917" s="10"/>
      <c r="C917" s="10">
        <v>0</v>
      </c>
      <c r="D917" s="11">
        <v>42243</v>
      </c>
      <c r="E917" s="12">
        <v>43544</v>
      </c>
      <c r="F917" s="26" t="str">
        <f t="shared" si="28"/>
        <v>42 : 21</v>
      </c>
      <c r="G917" s="14">
        <f t="shared" si="29"/>
        <v>1301</v>
      </c>
      <c r="H917" s="9">
        <v>8</v>
      </c>
      <c r="I917" s="9" t="s">
        <v>147</v>
      </c>
      <c r="J917" s="9" t="s">
        <v>35</v>
      </c>
      <c r="K917" s="9" t="s">
        <v>35</v>
      </c>
      <c r="L917" s="20">
        <v>-0.5</v>
      </c>
      <c r="M917" s="14">
        <v>0.5</v>
      </c>
      <c r="AD917" s="14">
        <v>0</v>
      </c>
      <c r="AE917" s="14">
        <v>1</v>
      </c>
      <c r="AG917" s="14" t="s">
        <v>602</v>
      </c>
    </row>
    <row r="918" spans="1:34" s="14" customFormat="1" x14ac:dyDescent="0.25">
      <c r="A918" s="10" t="s">
        <v>1123</v>
      </c>
      <c r="B918" s="10"/>
      <c r="C918" s="10">
        <v>0</v>
      </c>
      <c r="D918" s="11">
        <v>42243</v>
      </c>
      <c r="E918" s="12">
        <v>43544</v>
      </c>
      <c r="F918" s="26" t="str">
        <f t="shared" si="28"/>
        <v>42 : 21</v>
      </c>
      <c r="G918" s="14">
        <f t="shared" si="29"/>
        <v>1301</v>
      </c>
      <c r="H918" s="9">
        <v>8</v>
      </c>
      <c r="I918" s="9" t="s">
        <v>148</v>
      </c>
      <c r="J918" s="9" t="s">
        <v>33</v>
      </c>
      <c r="K918" s="9" t="s">
        <v>32</v>
      </c>
      <c r="L918" s="20">
        <v>0.5</v>
      </c>
      <c r="M918" s="14">
        <v>-0.5</v>
      </c>
      <c r="X918" s="14">
        <v>1</v>
      </c>
      <c r="Y918" s="14">
        <v>1</v>
      </c>
      <c r="AA918" s="14">
        <v>1</v>
      </c>
      <c r="AF918" s="14" t="s">
        <v>1127</v>
      </c>
      <c r="AG918" s="14" t="s">
        <v>1128</v>
      </c>
    </row>
    <row r="919" spans="1:34" s="14" customFormat="1" x14ac:dyDescent="0.25">
      <c r="A919" s="10" t="s">
        <v>1123</v>
      </c>
      <c r="B919" s="10"/>
      <c r="C919" s="10">
        <v>0</v>
      </c>
      <c r="D919" s="11">
        <v>42243</v>
      </c>
      <c r="E919" s="12">
        <v>43544</v>
      </c>
      <c r="F919" s="26" t="str">
        <f t="shared" si="28"/>
        <v>42 : 21</v>
      </c>
      <c r="G919" s="14">
        <f t="shared" si="29"/>
        <v>1301</v>
      </c>
      <c r="H919" s="9">
        <v>8</v>
      </c>
      <c r="I919" s="9" t="s">
        <v>152</v>
      </c>
      <c r="J919" s="9" t="s">
        <v>30</v>
      </c>
      <c r="K919" s="9" t="s">
        <v>30</v>
      </c>
      <c r="L919" s="20">
        <v>0.5</v>
      </c>
      <c r="M919" s="14">
        <v>0.5</v>
      </c>
      <c r="AD919" s="14">
        <v>0</v>
      </c>
      <c r="AE919" s="14">
        <v>0</v>
      </c>
      <c r="AG919" s="14" t="s">
        <v>1129</v>
      </c>
    </row>
    <row r="920" spans="1:34" s="14" customFormat="1" x14ac:dyDescent="0.25">
      <c r="A920" s="10" t="s">
        <v>1123</v>
      </c>
      <c r="B920" s="10"/>
      <c r="C920" s="10">
        <v>0</v>
      </c>
      <c r="D920" s="11">
        <v>42243</v>
      </c>
      <c r="E920" s="12">
        <v>43544</v>
      </c>
      <c r="F920" s="26" t="str">
        <f t="shared" si="28"/>
        <v>42 : 21</v>
      </c>
      <c r="G920" s="14">
        <f t="shared" si="29"/>
        <v>1301</v>
      </c>
      <c r="H920" s="9">
        <v>8</v>
      </c>
      <c r="I920" s="9" t="s">
        <v>153</v>
      </c>
      <c r="J920" s="9" t="s">
        <v>39</v>
      </c>
      <c r="K920" s="9" t="s">
        <v>39</v>
      </c>
      <c r="L920" s="20">
        <v>-0.5</v>
      </c>
      <c r="M920" s="9">
        <v>0.5</v>
      </c>
      <c r="O920" s="14">
        <v>1</v>
      </c>
      <c r="Z920" s="14">
        <v>1</v>
      </c>
      <c r="AA920" s="14">
        <v>1</v>
      </c>
      <c r="AF920" s="14" t="s">
        <v>1130</v>
      </c>
      <c r="AG920" s="14" t="s">
        <v>1002</v>
      </c>
    </row>
    <row r="921" spans="1:34" s="14" customFormat="1" x14ac:dyDescent="0.25">
      <c r="A921" s="10" t="s">
        <v>1123</v>
      </c>
      <c r="B921" s="10"/>
      <c r="C921" s="10">
        <v>0</v>
      </c>
      <c r="D921" s="11">
        <v>42243</v>
      </c>
      <c r="E921" s="12">
        <v>43544</v>
      </c>
      <c r="F921" s="26" t="str">
        <f t="shared" si="28"/>
        <v>42 : 21</v>
      </c>
      <c r="G921" s="14">
        <f t="shared" si="29"/>
        <v>1301</v>
      </c>
      <c r="H921" s="9">
        <v>8</v>
      </c>
      <c r="I921" s="9" t="s">
        <v>154</v>
      </c>
      <c r="J921" s="9" t="s">
        <v>40</v>
      </c>
      <c r="K921" s="9" t="s">
        <v>40</v>
      </c>
      <c r="L921" s="20">
        <v>0.5</v>
      </c>
      <c r="M921" s="14">
        <v>0.5</v>
      </c>
      <c r="S921" s="14">
        <v>0</v>
      </c>
      <c r="AD921" s="14">
        <v>0</v>
      </c>
      <c r="AE921" s="14">
        <v>0</v>
      </c>
      <c r="AF921" s="14" t="s">
        <v>1131</v>
      </c>
      <c r="AG921" s="14" t="s">
        <v>1132</v>
      </c>
    </row>
    <row r="922" spans="1:34" s="14" customFormat="1" x14ac:dyDescent="0.25">
      <c r="A922" s="10" t="s">
        <v>1123</v>
      </c>
      <c r="B922" s="10"/>
      <c r="C922" s="10">
        <v>0</v>
      </c>
      <c r="D922" s="11">
        <v>42243</v>
      </c>
      <c r="E922" s="12">
        <v>43544</v>
      </c>
      <c r="F922" s="26" t="str">
        <f t="shared" si="28"/>
        <v>42 : 21</v>
      </c>
      <c r="G922" s="14">
        <f t="shared" si="29"/>
        <v>1301</v>
      </c>
      <c r="H922" s="9">
        <v>8</v>
      </c>
      <c r="I922" s="9" t="s">
        <v>155</v>
      </c>
      <c r="J922" s="9" t="s">
        <v>33</v>
      </c>
      <c r="K922" s="9" t="s">
        <v>33</v>
      </c>
      <c r="L922" s="20">
        <v>-0.5</v>
      </c>
      <c r="M922" s="14">
        <v>0.5</v>
      </c>
      <c r="R922" s="14">
        <v>1</v>
      </c>
      <c r="AD922" s="14">
        <v>0</v>
      </c>
      <c r="AE922" s="14">
        <v>1</v>
      </c>
      <c r="AF922" s="14" t="s">
        <v>1133</v>
      </c>
      <c r="AG922" s="14" t="s">
        <v>1038</v>
      </c>
      <c r="AH922" s="14" t="s">
        <v>539</v>
      </c>
    </row>
    <row r="923" spans="1:34" s="14" customFormat="1" x14ac:dyDescent="0.25">
      <c r="A923" s="10" t="s">
        <v>1123</v>
      </c>
      <c r="B923" s="10"/>
      <c r="C923" s="10">
        <v>0</v>
      </c>
      <c r="D923" s="11">
        <v>42243</v>
      </c>
      <c r="E923" s="12">
        <v>43544</v>
      </c>
      <c r="F923" s="26" t="str">
        <f t="shared" si="28"/>
        <v>42 : 21</v>
      </c>
      <c r="G923" s="14">
        <f t="shared" si="29"/>
        <v>1301</v>
      </c>
      <c r="H923" s="9">
        <v>8</v>
      </c>
      <c r="I923" s="9" t="s">
        <v>156</v>
      </c>
      <c r="J923" s="9" t="s">
        <v>30</v>
      </c>
      <c r="K923" s="9" t="s">
        <v>40</v>
      </c>
      <c r="L923" s="20">
        <v>-0.5</v>
      </c>
      <c r="M923" s="14">
        <v>-0.5</v>
      </c>
      <c r="AD923" s="14">
        <v>0</v>
      </c>
      <c r="AE923" s="14">
        <v>1</v>
      </c>
      <c r="AG923" s="14" t="s">
        <v>216</v>
      </c>
    </row>
    <row r="924" spans="1:34" s="14" customFormat="1" x14ac:dyDescent="0.25">
      <c r="A924" s="10" t="s">
        <v>1123</v>
      </c>
      <c r="B924" s="10"/>
      <c r="C924" s="10">
        <v>0</v>
      </c>
      <c r="D924" s="11">
        <v>42243</v>
      </c>
      <c r="E924" s="12">
        <v>43544</v>
      </c>
      <c r="F924" s="26" t="str">
        <f t="shared" si="28"/>
        <v>42 : 21</v>
      </c>
      <c r="G924" s="14">
        <f t="shared" si="29"/>
        <v>1301</v>
      </c>
      <c r="H924" s="9">
        <v>8</v>
      </c>
      <c r="I924" s="9" t="s">
        <v>157</v>
      </c>
      <c r="J924" s="9" t="s">
        <v>32</v>
      </c>
      <c r="K924" s="9" t="s">
        <v>35</v>
      </c>
      <c r="L924" s="20">
        <v>0.5</v>
      </c>
      <c r="M924" s="14">
        <v>-0.5</v>
      </c>
      <c r="R924" s="14">
        <v>1</v>
      </c>
      <c r="S924" s="14">
        <v>0</v>
      </c>
      <c r="AD924" s="14">
        <v>0</v>
      </c>
      <c r="AE924" s="14">
        <v>0</v>
      </c>
      <c r="AF924" s="14" t="s">
        <v>1134</v>
      </c>
      <c r="AG924" s="14" t="s">
        <v>357</v>
      </c>
    </row>
    <row r="925" spans="1:34" s="14" customFormat="1" x14ac:dyDescent="0.25">
      <c r="A925" s="10" t="s">
        <v>1123</v>
      </c>
      <c r="B925" s="10"/>
      <c r="C925" s="10">
        <v>0</v>
      </c>
      <c r="D925" s="11">
        <v>42243</v>
      </c>
      <c r="E925" s="12">
        <v>43544</v>
      </c>
      <c r="F925" s="26" t="str">
        <f t="shared" si="28"/>
        <v>42 : 21</v>
      </c>
      <c r="G925" s="14">
        <f t="shared" si="29"/>
        <v>1301</v>
      </c>
      <c r="H925" s="9">
        <v>8</v>
      </c>
      <c r="I925" s="9" t="s">
        <v>158</v>
      </c>
      <c r="J925" s="9" t="s">
        <v>39</v>
      </c>
      <c r="K925" s="9" t="s">
        <v>39</v>
      </c>
      <c r="L925" s="20">
        <v>0.5</v>
      </c>
      <c r="M925" s="14">
        <v>0.5</v>
      </c>
      <c r="AD925" s="14">
        <v>0</v>
      </c>
      <c r="AE925" s="14">
        <v>0</v>
      </c>
      <c r="AG925" s="14" t="s">
        <v>1135</v>
      </c>
    </row>
    <row r="926" spans="1:34" s="14" customFormat="1" x14ac:dyDescent="0.25">
      <c r="A926" s="10" t="s">
        <v>1136</v>
      </c>
      <c r="B926" s="10"/>
      <c r="C926" s="10">
        <v>1</v>
      </c>
      <c r="D926" s="11">
        <v>42250</v>
      </c>
      <c r="E926" s="12">
        <v>43545</v>
      </c>
      <c r="F926" s="26" t="str">
        <f t="shared" si="28"/>
        <v>42 : 18</v>
      </c>
      <c r="G926" s="14">
        <f t="shared" si="29"/>
        <v>1295</v>
      </c>
      <c r="H926" s="9">
        <v>3</v>
      </c>
      <c r="I926" s="9">
        <v>1</v>
      </c>
      <c r="J926" s="9" t="s">
        <v>30</v>
      </c>
      <c r="K926" s="9" t="s">
        <v>30</v>
      </c>
      <c r="L926" s="15">
        <v>0.5</v>
      </c>
      <c r="M926" s="14">
        <v>0.5</v>
      </c>
      <c r="AD926" s="14">
        <v>1</v>
      </c>
      <c r="AE926" s="14">
        <v>1</v>
      </c>
      <c r="AG926" s="14" t="s">
        <v>383</v>
      </c>
    </row>
    <row r="927" spans="1:34" s="14" customFormat="1" x14ac:dyDescent="0.25">
      <c r="A927" s="10" t="s">
        <v>1136</v>
      </c>
      <c r="B927" s="10"/>
      <c r="C927" s="10">
        <v>1</v>
      </c>
      <c r="D927" s="11">
        <v>42250</v>
      </c>
      <c r="E927" s="12">
        <v>43545</v>
      </c>
      <c r="F927" s="26" t="str">
        <f t="shared" si="28"/>
        <v>42 : 18</v>
      </c>
      <c r="G927" s="14">
        <f t="shared" si="29"/>
        <v>1295</v>
      </c>
      <c r="H927" s="9">
        <v>3</v>
      </c>
      <c r="I927" s="9">
        <v>2</v>
      </c>
      <c r="J927" s="9" t="s">
        <v>32</v>
      </c>
      <c r="K927" s="9" t="s">
        <v>33</v>
      </c>
      <c r="L927" s="15">
        <v>0.5</v>
      </c>
      <c r="M927" s="14">
        <v>-0.5</v>
      </c>
      <c r="AD927" s="14">
        <v>1</v>
      </c>
      <c r="AE927" s="14">
        <v>1</v>
      </c>
      <c r="AG927" s="14" t="s">
        <v>518</v>
      </c>
    </row>
    <row r="928" spans="1:34" s="14" customFormat="1" x14ac:dyDescent="0.25">
      <c r="A928" s="10" t="s">
        <v>1136</v>
      </c>
      <c r="B928" s="10"/>
      <c r="C928" s="10">
        <v>1</v>
      </c>
      <c r="D928" s="11">
        <v>42250</v>
      </c>
      <c r="E928" s="12">
        <v>43545</v>
      </c>
      <c r="F928" s="26" t="str">
        <f t="shared" si="28"/>
        <v>42 : 18</v>
      </c>
      <c r="G928" s="14">
        <f t="shared" si="29"/>
        <v>1295</v>
      </c>
      <c r="H928" s="9">
        <v>3</v>
      </c>
      <c r="I928" s="9">
        <v>3</v>
      </c>
      <c r="J928" s="9" t="s">
        <v>35</v>
      </c>
      <c r="K928" s="9" t="s">
        <v>35</v>
      </c>
      <c r="L928" s="15">
        <v>-0.5</v>
      </c>
      <c r="M928" s="14">
        <v>0.5</v>
      </c>
      <c r="AD928" s="14">
        <v>0</v>
      </c>
      <c r="AE928" s="14">
        <v>1</v>
      </c>
      <c r="AG928" s="14" t="s">
        <v>45</v>
      </c>
    </row>
    <row r="929" spans="1:33" s="14" customFormat="1" x14ac:dyDescent="0.25">
      <c r="A929" s="10" t="s">
        <v>1136</v>
      </c>
      <c r="B929" s="10"/>
      <c r="C929" s="10">
        <v>1</v>
      </c>
      <c r="D929" s="11">
        <v>42250</v>
      </c>
      <c r="E929" s="12">
        <v>43545</v>
      </c>
      <c r="F929" s="26" t="str">
        <f t="shared" si="28"/>
        <v>42 : 18</v>
      </c>
      <c r="G929" s="14">
        <f t="shared" si="29"/>
        <v>1295</v>
      </c>
      <c r="H929" s="9">
        <v>3</v>
      </c>
      <c r="I929" s="9">
        <v>4</v>
      </c>
      <c r="J929" s="9" t="s">
        <v>32</v>
      </c>
      <c r="K929" s="9" t="s">
        <v>32</v>
      </c>
      <c r="L929" s="15">
        <v>-0.5</v>
      </c>
      <c r="M929" s="14">
        <v>0.5</v>
      </c>
      <c r="AD929" s="14">
        <v>0</v>
      </c>
      <c r="AE929" s="14">
        <v>1</v>
      </c>
      <c r="AG929" s="14" t="s">
        <v>57</v>
      </c>
    </row>
    <row r="930" spans="1:33" s="14" customFormat="1" x14ac:dyDescent="0.25">
      <c r="A930" s="10" t="s">
        <v>1136</v>
      </c>
      <c r="B930" s="10"/>
      <c r="C930" s="10">
        <v>1</v>
      </c>
      <c r="D930" s="11">
        <v>42250</v>
      </c>
      <c r="E930" s="12">
        <v>43545</v>
      </c>
      <c r="F930" s="26" t="str">
        <f t="shared" si="28"/>
        <v>42 : 18</v>
      </c>
      <c r="G930" s="14">
        <f t="shared" si="29"/>
        <v>1295</v>
      </c>
      <c r="H930" s="9">
        <v>3</v>
      </c>
      <c r="I930" s="9">
        <v>5</v>
      </c>
      <c r="J930" s="9" t="s">
        <v>33</v>
      </c>
      <c r="K930" s="9" t="s">
        <v>35</v>
      </c>
      <c r="L930" s="15">
        <v>0.5</v>
      </c>
      <c r="M930" s="14">
        <v>-0.5</v>
      </c>
      <c r="AD930" s="14">
        <v>0</v>
      </c>
      <c r="AE930" s="14">
        <v>0</v>
      </c>
      <c r="AG930" s="14" t="s">
        <v>1137</v>
      </c>
    </row>
    <row r="931" spans="1:33" s="14" customFormat="1" x14ac:dyDescent="0.25">
      <c r="A931" s="10" t="s">
        <v>1136</v>
      </c>
      <c r="B931" s="10"/>
      <c r="C931" s="10">
        <v>1</v>
      </c>
      <c r="D931" s="11">
        <v>42250</v>
      </c>
      <c r="E931" s="12">
        <v>43545</v>
      </c>
      <c r="F931" s="26" t="str">
        <f t="shared" si="28"/>
        <v>42 : 18</v>
      </c>
      <c r="G931" s="14">
        <f t="shared" si="29"/>
        <v>1295</v>
      </c>
      <c r="H931" s="9">
        <v>3</v>
      </c>
      <c r="I931" s="9">
        <v>6</v>
      </c>
      <c r="J931" s="9" t="s">
        <v>39</v>
      </c>
      <c r="K931" s="9" t="s">
        <v>40</v>
      </c>
      <c r="L931" s="15">
        <v>-0.5</v>
      </c>
      <c r="M931" s="14">
        <v>-0.5</v>
      </c>
      <c r="Q931" s="14">
        <v>1</v>
      </c>
      <c r="AD931" s="14">
        <v>0</v>
      </c>
      <c r="AE931" s="14">
        <v>1</v>
      </c>
      <c r="AF931" s="14" t="s">
        <v>1138</v>
      </c>
      <c r="AG931" s="14" t="s">
        <v>50</v>
      </c>
    </row>
    <row r="932" spans="1:33" s="14" customFormat="1" x14ac:dyDescent="0.25">
      <c r="A932" s="10" t="s">
        <v>1136</v>
      </c>
      <c r="B932" s="10"/>
      <c r="C932" s="10">
        <v>1</v>
      </c>
      <c r="D932" s="11">
        <v>42250</v>
      </c>
      <c r="E932" s="12">
        <v>43545</v>
      </c>
      <c r="F932" s="26" t="str">
        <f t="shared" si="28"/>
        <v>42 : 18</v>
      </c>
      <c r="G932" s="14">
        <f t="shared" si="29"/>
        <v>1295</v>
      </c>
      <c r="H932" s="9">
        <v>3</v>
      </c>
      <c r="I932" s="9">
        <v>7</v>
      </c>
      <c r="J932" s="9" t="s">
        <v>39</v>
      </c>
      <c r="K932" s="9" t="s">
        <v>39</v>
      </c>
      <c r="L932" s="15">
        <v>0.5</v>
      </c>
      <c r="M932" s="14">
        <v>0.5</v>
      </c>
      <c r="AD932" s="14">
        <v>1</v>
      </c>
      <c r="AE932" s="14">
        <v>1</v>
      </c>
      <c r="AG932" s="14" t="s">
        <v>88</v>
      </c>
    </row>
    <row r="933" spans="1:33" s="14" customFormat="1" x14ac:dyDescent="0.25">
      <c r="A933" s="10" t="s">
        <v>1136</v>
      </c>
      <c r="B933" s="10"/>
      <c r="C933" s="10">
        <v>1</v>
      </c>
      <c r="D933" s="11">
        <v>42250</v>
      </c>
      <c r="E933" s="12">
        <v>43545</v>
      </c>
      <c r="F933" s="26" t="str">
        <f t="shared" si="28"/>
        <v>42 : 18</v>
      </c>
      <c r="G933" s="14">
        <f t="shared" si="29"/>
        <v>1295</v>
      </c>
      <c r="H933" s="9">
        <v>3</v>
      </c>
      <c r="I933" s="9">
        <v>8</v>
      </c>
      <c r="J933" s="9" t="s">
        <v>35</v>
      </c>
      <c r="K933" s="9" t="s">
        <v>32</v>
      </c>
      <c r="L933" s="15">
        <v>0.5</v>
      </c>
      <c r="M933" s="14">
        <v>-0.5</v>
      </c>
      <c r="AD933" s="14">
        <v>1</v>
      </c>
      <c r="AE933" s="14">
        <v>1</v>
      </c>
      <c r="AG933" s="14" t="s">
        <v>1031</v>
      </c>
    </row>
    <row r="934" spans="1:33" s="14" customFormat="1" x14ac:dyDescent="0.25">
      <c r="A934" s="10" t="s">
        <v>1136</v>
      </c>
      <c r="B934" s="10"/>
      <c r="C934" s="10">
        <v>1</v>
      </c>
      <c r="D934" s="11">
        <v>42250</v>
      </c>
      <c r="E934" s="12">
        <v>43545</v>
      </c>
      <c r="F934" s="26" t="str">
        <f t="shared" si="28"/>
        <v>42 : 18</v>
      </c>
      <c r="G934" s="14">
        <f t="shared" si="29"/>
        <v>1295</v>
      </c>
      <c r="H934" s="9">
        <v>3</v>
      </c>
      <c r="I934" s="9">
        <v>9</v>
      </c>
      <c r="J934" s="9" t="s">
        <v>40</v>
      </c>
      <c r="K934" s="9" t="s">
        <v>30</v>
      </c>
      <c r="L934" s="15">
        <v>-0.5</v>
      </c>
      <c r="M934" s="14">
        <v>-0.5</v>
      </c>
      <c r="AD934" s="14">
        <v>0</v>
      </c>
      <c r="AE934" s="14">
        <v>1</v>
      </c>
      <c r="AG934" s="14" t="s">
        <v>610</v>
      </c>
    </row>
    <row r="935" spans="1:33" s="14" customFormat="1" x14ac:dyDescent="0.25">
      <c r="A935" s="10" t="s">
        <v>1136</v>
      </c>
      <c r="B935" s="10"/>
      <c r="C935" s="10">
        <v>1</v>
      </c>
      <c r="D935" s="11">
        <v>42250</v>
      </c>
      <c r="E935" s="12">
        <v>43545</v>
      </c>
      <c r="F935" s="26" t="str">
        <f t="shared" si="28"/>
        <v>42 : 18</v>
      </c>
      <c r="G935" s="14">
        <f t="shared" si="29"/>
        <v>1295</v>
      </c>
      <c r="H935" s="9">
        <v>3</v>
      </c>
      <c r="I935" s="9">
        <v>10</v>
      </c>
      <c r="J935" s="9" t="s">
        <v>33</v>
      </c>
      <c r="K935" s="9" t="s">
        <v>33</v>
      </c>
      <c r="L935" s="15">
        <v>-0.5</v>
      </c>
      <c r="M935" s="14">
        <v>0.5</v>
      </c>
      <c r="AD935" s="14">
        <v>0</v>
      </c>
      <c r="AE935" s="14">
        <v>1</v>
      </c>
      <c r="AG935" s="14" t="s">
        <v>45</v>
      </c>
    </row>
    <row r="936" spans="1:33" s="14" customFormat="1" x14ac:dyDescent="0.25">
      <c r="A936" s="10" t="s">
        <v>1136</v>
      </c>
      <c r="B936" s="10"/>
      <c r="C936" s="10">
        <v>1</v>
      </c>
      <c r="D936" s="11">
        <v>42250</v>
      </c>
      <c r="E936" s="12">
        <v>43545</v>
      </c>
      <c r="F936" s="26" t="str">
        <f t="shared" si="28"/>
        <v>42 : 18</v>
      </c>
      <c r="G936" s="14">
        <f t="shared" si="29"/>
        <v>1295</v>
      </c>
      <c r="H936" s="9">
        <v>3</v>
      </c>
      <c r="I936" s="9">
        <v>11</v>
      </c>
      <c r="J936" s="9" t="s">
        <v>40</v>
      </c>
      <c r="K936" s="9" t="s">
        <v>40</v>
      </c>
      <c r="L936" s="15">
        <v>0.5</v>
      </c>
      <c r="M936" s="14">
        <v>0.5</v>
      </c>
      <c r="AD936" s="14">
        <v>0</v>
      </c>
      <c r="AE936" s="14">
        <v>0</v>
      </c>
      <c r="AG936" s="14" t="s">
        <v>46</v>
      </c>
    </row>
    <row r="937" spans="1:33" s="14" customFormat="1" x14ac:dyDescent="0.25">
      <c r="A937" s="10" t="s">
        <v>1136</v>
      </c>
      <c r="B937" s="10"/>
      <c r="C937" s="10">
        <v>1</v>
      </c>
      <c r="D937" s="11">
        <v>42250</v>
      </c>
      <c r="E937" s="12">
        <v>43545</v>
      </c>
      <c r="F937" s="26" t="str">
        <f t="shared" si="28"/>
        <v>42 : 18</v>
      </c>
      <c r="G937" s="14">
        <f t="shared" si="29"/>
        <v>1295</v>
      </c>
      <c r="H937" s="9">
        <v>3</v>
      </c>
      <c r="I937" s="9">
        <v>12</v>
      </c>
      <c r="J937" s="9" t="s">
        <v>30</v>
      </c>
      <c r="K937" s="9" t="s">
        <v>39</v>
      </c>
      <c r="L937" s="15">
        <v>-0.5</v>
      </c>
      <c r="M937" s="14">
        <v>-0.5</v>
      </c>
      <c r="AD937" s="14">
        <v>0</v>
      </c>
      <c r="AE937" s="14">
        <v>1</v>
      </c>
      <c r="AG937" s="14" t="s">
        <v>93</v>
      </c>
    </row>
    <row r="938" spans="1:33" s="14" customFormat="1" x14ac:dyDescent="0.25">
      <c r="A938" s="10" t="s">
        <v>1139</v>
      </c>
      <c r="B938" s="10">
        <v>1</v>
      </c>
      <c r="C938" s="10">
        <v>0</v>
      </c>
      <c r="D938" s="11">
        <v>42245</v>
      </c>
      <c r="E938" s="12">
        <v>43542</v>
      </c>
      <c r="F938" s="26" t="str">
        <f t="shared" ref="F938:F1001" si="30">DATEDIF(D938,E938,"M")&amp;" : "&amp;DATEDIF(D938,E938,"MD")</f>
        <v>42 : 17</v>
      </c>
      <c r="G938" s="14">
        <f t="shared" ref="G938:G1001" si="31">DATEDIF(D938,E938,"D")</f>
        <v>1297</v>
      </c>
      <c r="H938" s="9">
        <v>6</v>
      </c>
      <c r="I938" s="9" t="s">
        <v>143</v>
      </c>
      <c r="J938" s="9" t="s">
        <v>40</v>
      </c>
      <c r="K938" s="9" t="s">
        <v>39</v>
      </c>
      <c r="L938" s="20">
        <v>0.5</v>
      </c>
      <c r="M938" s="14">
        <v>-0.5</v>
      </c>
      <c r="U938" s="14">
        <v>1</v>
      </c>
      <c r="AD938" s="14">
        <v>1</v>
      </c>
      <c r="AE938" s="14">
        <v>1</v>
      </c>
      <c r="AF938" s="14" t="s">
        <v>1140</v>
      </c>
      <c r="AG938" s="14" t="s">
        <v>371</v>
      </c>
    </row>
    <row r="939" spans="1:33" s="14" customFormat="1" x14ac:dyDescent="0.25">
      <c r="A939" s="10" t="s">
        <v>1139</v>
      </c>
      <c r="B939" s="10">
        <v>1</v>
      </c>
      <c r="C939" s="10">
        <v>0</v>
      </c>
      <c r="D939" s="11">
        <v>42245</v>
      </c>
      <c r="E939" s="12">
        <v>43542</v>
      </c>
      <c r="F939" s="26" t="str">
        <f t="shared" si="30"/>
        <v>42 : 17</v>
      </c>
      <c r="G939" s="14">
        <f t="shared" si="31"/>
        <v>1297</v>
      </c>
      <c r="H939" s="9">
        <v>6</v>
      </c>
      <c r="I939" s="9" t="s">
        <v>145</v>
      </c>
      <c r="J939" s="9" t="s">
        <v>35</v>
      </c>
      <c r="K939" s="9" t="s">
        <v>33</v>
      </c>
      <c r="L939" s="20">
        <v>-0.5</v>
      </c>
      <c r="M939" s="14">
        <v>-0.5</v>
      </c>
      <c r="AD939" s="14">
        <v>0</v>
      </c>
      <c r="AE939" s="14">
        <v>1</v>
      </c>
      <c r="AG939" s="14" t="s">
        <v>1141</v>
      </c>
    </row>
    <row r="940" spans="1:33" s="14" customFormat="1" x14ac:dyDescent="0.25">
      <c r="A940" s="10" t="s">
        <v>1139</v>
      </c>
      <c r="B940" s="10">
        <v>1</v>
      </c>
      <c r="C940" s="10">
        <v>0</v>
      </c>
      <c r="D940" s="11">
        <v>42245</v>
      </c>
      <c r="E940" s="12">
        <v>43542</v>
      </c>
      <c r="F940" s="26" t="str">
        <f t="shared" si="30"/>
        <v>42 : 17</v>
      </c>
      <c r="G940" s="14">
        <f t="shared" si="31"/>
        <v>1297</v>
      </c>
      <c r="H940" s="9">
        <v>6</v>
      </c>
      <c r="I940" s="9" t="s">
        <v>146</v>
      </c>
      <c r="J940" s="9" t="s">
        <v>32</v>
      </c>
      <c r="K940" s="9" t="s">
        <v>32</v>
      </c>
      <c r="L940" s="20">
        <v>0.5</v>
      </c>
      <c r="M940" s="14">
        <v>0.5</v>
      </c>
      <c r="U940" s="14">
        <v>1</v>
      </c>
      <c r="AD940" s="14">
        <v>1</v>
      </c>
      <c r="AE940" s="14">
        <v>1</v>
      </c>
      <c r="AF940" s="14" t="s">
        <v>1142</v>
      </c>
      <c r="AG940" s="14" t="s">
        <v>1143</v>
      </c>
    </row>
    <row r="941" spans="1:33" s="14" customFormat="1" x14ac:dyDescent="0.25">
      <c r="A941" s="10" t="s">
        <v>1139</v>
      </c>
      <c r="B941" s="10">
        <v>1</v>
      </c>
      <c r="C941" s="10">
        <v>0</v>
      </c>
      <c r="D941" s="11">
        <v>42245</v>
      </c>
      <c r="E941" s="12">
        <v>43542</v>
      </c>
      <c r="F941" s="26" t="str">
        <f t="shared" si="30"/>
        <v>42 : 17</v>
      </c>
      <c r="G941" s="14">
        <f t="shared" si="31"/>
        <v>1297</v>
      </c>
      <c r="H941" s="9">
        <v>6</v>
      </c>
      <c r="I941" s="9" t="s">
        <v>147</v>
      </c>
      <c r="J941" s="9" t="s">
        <v>35</v>
      </c>
      <c r="K941" s="9" t="s">
        <v>35</v>
      </c>
      <c r="L941" s="20">
        <v>0.5</v>
      </c>
      <c r="M941" s="14">
        <v>0.5</v>
      </c>
      <c r="U941" s="14">
        <v>1</v>
      </c>
      <c r="AD941" s="14">
        <v>1</v>
      </c>
      <c r="AE941" s="14">
        <v>1</v>
      </c>
      <c r="AG941" s="14" t="s">
        <v>1144</v>
      </c>
    </row>
    <row r="942" spans="1:33" s="14" customFormat="1" x14ac:dyDescent="0.25">
      <c r="A942" s="10" t="s">
        <v>1139</v>
      </c>
      <c r="B942" s="10">
        <v>1</v>
      </c>
      <c r="C942" s="10">
        <v>0</v>
      </c>
      <c r="D942" s="11">
        <v>42245</v>
      </c>
      <c r="E942" s="12">
        <v>43542</v>
      </c>
      <c r="F942" s="26" t="str">
        <f t="shared" si="30"/>
        <v>42 : 17</v>
      </c>
      <c r="G942" s="14">
        <f t="shared" si="31"/>
        <v>1297</v>
      </c>
      <c r="H942" s="9">
        <v>6</v>
      </c>
      <c r="I942" s="9" t="s">
        <v>148</v>
      </c>
      <c r="J942" s="9" t="s">
        <v>33</v>
      </c>
      <c r="K942" s="9" t="s">
        <v>32</v>
      </c>
      <c r="L942" s="20">
        <v>-0.5</v>
      </c>
      <c r="M942" s="14">
        <v>-0.5</v>
      </c>
      <c r="U942" s="14">
        <v>1</v>
      </c>
      <c r="AD942" s="14">
        <v>1</v>
      </c>
      <c r="AE942" s="14">
        <v>0</v>
      </c>
      <c r="AG942" s="14" t="s">
        <v>1145</v>
      </c>
    </row>
    <row r="943" spans="1:33" s="14" customFormat="1" x14ac:dyDescent="0.25">
      <c r="A943" s="10" t="s">
        <v>1139</v>
      </c>
      <c r="B943" s="10">
        <v>1</v>
      </c>
      <c r="C943" s="10">
        <v>0</v>
      </c>
      <c r="D943" s="11">
        <v>42245</v>
      </c>
      <c r="E943" s="12">
        <v>43542</v>
      </c>
      <c r="F943" s="26" t="str">
        <f t="shared" si="30"/>
        <v>42 : 17</v>
      </c>
      <c r="G943" s="14">
        <f t="shared" si="31"/>
        <v>1297</v>
      </c>
      <c r="H943" s="9">
        <v>6</v>
      </c>
      <c r="I943" s="9" t="s">
        <v>152</v>
      </c>
      <c r="J943" s="9" t="s">
        <v>30</v>
      </c>
      <c r="K943" s="9" t="s">
        <v>30</v>
      </c>
      <c r="L943" s="20">
        <v>-0.5</v>
      </c>
      <c r="M943" s="14">
        <v>0.5</v>
      </c>
      <c r="R943" s="14">
        <v>1</v>
      </c>
      <c r="Y943" s="14">
        <v>1</v>
      </c>
      <c r="AA943" s="14">
        <v>1</v>
      </c>
      <c r="AF943" s="14" t="s">
        <v>1146</v>
      </c>
      <c r="AG943" s="14" t="s">
        <v>650</v>
      </c>
    </row>
    <row r="944" spans="1:33" s="14" customFormat="1" x14ac:dyDescent="0.25">
      <c r="A944" s="10" t="s">
        <v>1139</v>
      </c>
      <c r="B944" s="10">
        <v>1</v>
      </c>
      <c r="C944" s="10">
        <v>0</v>
      </c>
      <c r="D944" s="11">
        <v>42245</v>
      </c>
      <c r="E944" s="12">
        <v>43542</v>
      </c>
      <c r="F944" s="26" t="str">
        <f t="shared" si="30"/>
        <v>42 : 17</v>
      </c>
      <c r="G944" s="14">
        <f t="shared" si="31"/>
        <v>1297</v>
      </c>
      <c r="H944" s="9">
        <v>6</v>
      </c>
      <c r="I944" s="9" t="s">
        <v>153</v>
      </c>
      <c r="J944" s="9" t="s">
        <v>39</v>
      </c>
      <c r="K944" s="9" t="s">
        <v>39</v>
      </c>
      <c r="L944" s="20">
        <v>0.5</v>
      </c>
      <c r="M944" s="9">
        <v>0.5</v>
      </c>
      <c r="O944" s="14">
        <v>1</v>
      </c>
      <c r="U944" s="14">
        <v>1</v>
      </c>
      <c r="AD944" s="14">
        <v>1</v>
      </c>
      <c r="AE944" s="14">
        <v>1</v>
      </c>
      <c r="AG944" s="14" t="s">
        <v>1143</v>
      </c>
    </row>
    <row r="945" spans="1:33" s="14" customFormat="1" x14ac:dyDescent="0.25">
      <c r="A945" s="10" t="s">
        <v>1139</v>
      </c>
      <c r="B945" s="10">
        <v>1</v>
      </c>
      <c r="C945" s="10">
        <v>0</v>
      </c>
      <c r="D945" s="11">
        <v>42245</v>
      </c>
      <c r="E945" s="12">
        <v>43542</v>
      </c>
      <c r="F945" s="26" t="str">
        <f t="shared" si="30"/>
        <v>42 : 17</v>
      </c>
      <c r="G945" s="14">
        <f t="shared" si="31"/>
        <v>1297</v>
      </c>
      <c r="H945" s="9">
        <v>6</v>
      </c>
      <c r="I945" s="9" t="s">
        <v>154</v>
      </c>
      <c r="J945" s="9" t="s">
        <v>40</v>
      </c>
      <c r="K945" s="9" t="s">
        <v>40</v>
      </c>
      <c r="L945" s="20">
        <v>-0.5</v>
      </c>
      <c r="M945" s="14">
        <v>0.5</v>
      </c>
      <c r="U945" s="14">
        <v>1</v>
      </c>
      <c r="AD945" s="14">
        <v>1</v>
      </c>
      <c r="AE945" s="14">
        <v>0</v>
      </c>
      <c r="AG945" s="14" t="s">
        <v>1145</v>
      </c>
    </row>
    <row r="946" spans="1:33" s="14" customFormat="1" x14ac:dyDescent="0.25">
      <c r="A946" s="10" t="s">
        <v>1139</v>
      </c>
      <c r="B946" s="10">
        <v>1</v>
      </c>
      <c r="C946" s="10">
        <v>0</v>
      </c>
      <c r="D946" s="11">
        <v>42245</v>
      </c>
      <c r="E946" s="12">
        <v>43542</v>
      </c>
      <c r="F946" s="26" t="str">
        <f t="shared" si="30"/>
        <v>42 : 17</v>
      </c>
      <c r="G946" s="14">
        <f t="shared" si="31"/>
        <v>1297</v>
      </c>
      <c r="H946" s="9">
        <v>6</v>
      </c>
      <c r="I946" s="9" t="s">
        <v>155</v>
      </c>
      <c r="J946" s="9" t="s">
        <v>33</v>
      </c>
      <c r="K946" s="9" t="s">
        <v>33</v>
      </c>
      <c r="L946" s="20">
        <v>0.5</v>
      </c>
      <c r="M946" s="14">
        <v>0.5</v>
      </c>
      <c r="R946" s="14">
        <v>1</v>
      </c>
      <c r="Y946" s="14">
        <v>1</v>
      </c>
      <c r="AA946" s="14">
        <v>1</v>
      </c>
      <c r="AF946" s="14" t="s">
        <v>1147</v>
      </c>
      <c r="AG946" s="14" t="s">
        <v>453</v>
      </c>
    </row>
    <row r="947" spans="1:33" s="14" customFormat="1" x14ac:dyDescent="0.25">
      <c r="A947" s="10" t="s">
        <v>1139</v>
      </c>
      <c r="B947" s="10">
        <v>1</v>
      </c>
      <c r="C947" s="10">
        <v>0</v>
      </c>
      <c r="D947" s="11">
        <v>42245</v>
      </c>
      <c r="E947" s="12">
        <v>43542</v>
      </c>
      <c r="F947" s="26" t="str">
        <f t="shared" si="30"/>
        <v>42 : 17</v>
      </c>
      <c r="G947" s="14">
        <f t="shared" si="31"/>
        <v>1297</v>
      </c>
      <c r="H947" s="9">
        <v>6</v>
      </c>
      <c r="I947" s="9" t="s">
        <v>156</v>
      </c>
      <c r="J947" s="9" t="s">
        <v>30</v>
      </c>
      <c r="K947" s="9" t="s">
        <v>40</v>
      </c>
      <c r="L947" s="20">
        <v>0.5</v>
      </c>
      <c r="M947" s="14">
        <v>-0.5</v>
      </c>
      <c r="Y947" s="14">
        <v>1</v>
      </c>
      <c r="AD947" s="14">
        <v>0</v>
      </c>
      <c r="AE947" s="14">
        <v>0</v>
      </c>
      <c r="AF947" s="14" t="s">
        <v>1148</v>
      </c>
      <c r="AG947" s="14" t="s">
        <v>1148</v>
      </c>
    </row>
    <row r="948" spans="1:33" s="14" customFormat="1" x14ac:dyDescent="0.25">
      <c r="A948" s="10" t="s">
        <v>1139</v>
      </c>
      <c r="B948" s="10">
        <v>1</v>
      </c>
      <c r="C948" s="10">
        <v>0</v>
      </c>
      <c r="D948" s="11">
        <v>42245</v>
      </c>
      <c r="E948" s="12">
        <v>43542</v>
      </c>
      <c r="F948" s="26" t="str">
        <f t="shared" si="30"/>
        <v>42 : 17</v>
      </c>
      <c r="G948" s="14">
        <f t="shared" si="31"/>
        <v>1297</v>
      </c>
      <c r="H948" s="9">
        <v>6</v>
      </c>
      <c r="I948" s="9" t="s">
        <v>157</v>
      </c>
      <c r="J948" s="9" t="s">
        <v>32</v>
      </c>
      <c r="K948" s="9" t="s">
        <v>35</v>
      </c>
      <c r="L948" s="20">
        <v>-0.5</v>
      </c>
      <c r="M948" s="14">
        <v>-0.5</v>
      </c>
      <c r="AD948" s="14">
        <v>0</v>
      </c>
      <c r="AE948" s="14">
        <v>1</v>
      </c>
      <c r="AG948" s="14" t="s">
        <v>123</v>
      </c>
    </row>
    <row r="949" spans="1:33" s="14" customFormat="1" x14ac:dyDescent="0.25">
      <c r="A949" s="10" t="s">
        <v>1139</v>
      </c>
      <c r="B949" s="10">
        <v>1</v>
      </c>
      <c r="C949" s="10">
        <v>0</v>
      </c>
      <c r="D949" s="11">
        <v>42245</v>
      </c>
      <c r="E949" s="12">
        <v>43542</v>
      </c>
      <c r="F949" s="26" t="str">
        <f t="shared" si="30"/>
        <v>42 : 17</v>
      </c>
      <c r="G949" s="14">
        <f t="shared" si="31"/>
        <v>1297</v>
      </c>
      <c r="H949" s="9">
        <v>6</v>
      </c>
      <c r="I949" s="9" t="s">
        <v>158</v>
      </c>
      <c r="J949" s="9" t="s">
        <v>39</v>
      </c>
      <c r="K949" s="9" t="s">
        <v>39</v>
      </c>
      <c r="L949" s="20">
        <v>-0.5</v>
      </c>
      <c r="M949" s="14">
        <v>0.5</v>
      </c>
      <c r="U949" s="14">
        <v>1</v>
      </c>
      <c r="AD949" s="14">
        <v>1</v>
      </c>
      <c r="AE949" s="14">
        <v>0</v>
      </c>
      <c r="AG949" s="14" t="s">
        <v>1149</v>
      </c>
    </row>
    <row r="950" spans="1:33" s="14" customFormat="1" x14ac:dyDescent="0.25">
      <c r="A950" s="10" t="s">
        <v>1150</v>
      </c>
      <c r="B950" s="10"/>
      <c r="C950" s="10">
        <v>1</v>
      </c>
      <c r="D950" s="11">
        <v>42258</v>
      </c>
      <c r="E950" s="12">
        <v>43543</v>
      </c>
      <c r="F950" s="26" t="str">
        <f t="shared" si="30"/>
        <v>42 : 8</v>
      </c>
      <c r="G950" s="14">
        <f t="shared" si="31"/>
        <v>1285</v>
      </c>
      <c r="H950" s="9">
        <v>7</v>
      </c>
      <c r="I950" s="9">
        <v>6</v>
      </c>
      <c r="J950" s="9" t="s">
        <v>39</v>
      </c>
      <c r="K950" s="9" t="s">
        <v>40</v>
      </c>
      <c r="L950" s="20">
        <v>-0.5</v>
      </c>
      <c r="M950" s="14">
        <v>-0.5</v>
      </c>
      <c r="AD950" s="14">
        <v>0</v>
      </c>
      <c r="AE950" s="14">
        <v>1</v>
      </c>
      <c r="AG950" s="14" t="s">
        <v>50</v>
      </c>
    </row>
    <row r="951" spans="1:33" s="14" customFormat="1" x14ac:dyDescent="0.25">
      <c r="A951" s="10" t="s">
        <v>1150</v>
      </c>
      <c r="B951" s="10"/>
      <c r="C951" s="10">
        <v>1</v>
      </c>
      <c r="D951" s="11">
        <v>42258</v>
      </c>
      <c r="E951" s="12">
        <v>43543</v>
      </c>
      <c r="F951" s="26" t="str">
        <f t="shared" si="30"/>
        <v>42 : 8</v>
      </c>
      <c r="G951" s="14">
        <f t="shared" si="31"/>
        <v>1285</v>
      </c>
      <c r="H951" s="9">
        <v>7</v>
      </c>
      <c r="I951" s="9">
        <v>5</v>
      </c>
      <c r="J951" s="9" t="s">
        <v>33</v>
      </c>
      <c r="K951" s="9" t="s">
        <v>35</v>
      </c>
      <c r="L951" s="20">
        <v>0.5</v>
      </c>
      <c r="M951" s="14">
        <v>-0.5</v>
      </c>
      <c r="AD951" s="14">
        <v>0</v>
      </c>
      <c r="AE951" s="14">
        <v>0</v>
      </c>
      <c r="AG951" s="14" t="s">
        <v>84</v>
      </c>
    </row>
    <row r="952" spans="1:33" s="14" customFormat="1" x14ac:dyDescent="0.25">
      <c r="A952" s="10" t="s">
        <v>1150</v>
      </c>
      <c r="B952" s="10"/>
      <c r="C952" s="10">
        <v>1</v>
      </c>
      <c r="D952" s="11">
        <v>42258</v>
      </c>
      <c r="E952" s="12">
        <v>43543</v>
      </c>
      <c r="F952" s="26" t="str">
        <f t="shared" si="30"/>
        <v>42 : 8</v>
      </c>
      <c r="G952" s="14">
        <f t="shared" si="31"/>
        <v>1285</v>
      </c>
      <c r="H952" s="9">
        <v>7</v>
      </c>
      <c r="I952" s="9">
        <v>4</v>
      </c>
      <c r="J952" s="9" t="s">
        <v>32</v>
      </c>
      <c r="K952" s="9" t="s">
        <v>32</v>
      </c>
      <c r="L952" s="20">
        <v>-0.5</v>
      </c>
      <c r="M952" s="14">
        <v>0.5</v>
      </c>
      <c r="AD952" s="14">
        <v>0</v>
      </c>
      <c r="AE952" s="14">
        <v>1</v>
      </c>
      <c r="AG952" s="14" t="s">
        <v>305</v>
      </c>
    </row>
    <row r="953" spans="1:33" s="14" customFormat="1" x14ac:dyDescent="0.25">
      <c r="A953" s="10" t="s">
        <v>1150</v>
      </c>
      <c r="B953" s="10"/>
      <c r="C953" s="10">
        <v>1</v>
      </c>
      <c r="D953" s="11">
        <v>42258</v>
      </c>
      <c r="E953" s="12">
        <v>43543</v>
      </c>
      <c r="F953" s="26" t="str">
        <f t="shared" si="30"/>
        <v>42 : 8</v>
      </c>
      <c r="G953" s="14">
        <f t="shared" si="31"/>
        <v>1285</v>
      </c>
      <c r="H953" s="9">
        <v>7</v>
      </c>
      <c r="I953" s="9">
        <v>3</v>
      </c>
      <c r="J953" s="9" t="s">
        <v>35</v>
      </c>
      <c r="K953" s="9" t="s">
        <v>35</v>
      </c>
      <c r="L953" s="20">
        <v>-0.5</v>
      </c>
      <c r="M953" s="14">
        <v>0.5</v>
      </c>
      <c r="S953" s="14">
        <v>1</v>
      </c>
      <c r="AD953" s="14">
        <v>0</v>
      </c>
      <c r="AE953" s="14">
        <v>1</v>
      </c>
      <c r="AF953" s="14" t="s">
        <v>1151</v>
      </c>
      <c r="AG953" s="14" t="s">
        <v>45</v>
      </c>
    </row>
    <row r="954" spans="1:33" s="14" customFormat="1" x14ac:dyDescent="0.25">
      <c r="A954" s="10" t="s">
        <v>1150</v>
      </c>
      <c r="B954" s="10"/>
      <c r="C954" s="10">
        <v>1</v>
      </c>
      <c r="D954" s="11">
        <v>42258</v>
      </c>
      <c r="E954" s="12">
        <v>43543</v>
      </c>
      <c r="F954" s="26" t="str">
        <f t="shared" si="30"/>
        <v>42 : 8</v>
      </c>
      <c r="G954" s="14">
        <f t="shared" si="31"/>
        <v>1285</v>
      </c>
      <c r="H954" s="9">
        <v>7</v>
      </c>
      <c r="I954" s="9">
        <v>2</v>
      </c>
      <c r="J954" s="9" t="s">
        <v>32</v>
      </c>
      <c r="K954" s="9" t="s">
        <v>33</v>
      </c>
      <c r="L954" s="20">
        <v>0.5</v>
      </c>
      <c r="M954" s="14">
        <v>-0.5</v>
      </c>
      <c r="Y954" s="14">
        <v>1</v>
      </c>
      <c r="AD954" s="14">
        <v>0</v>
      </c>
      <c r="AE954" s="14">
        <v>0</v>
      </c>
      <c r="AF954" s="14" t="s">
        <v>1152</v>
      </c>
      <c r="AG954" s="14" t="s">
        <v>139</v>
      </c>
    </row>
    <row r="955" spans="1:33" s="14" customFormat="1" x14ac:dyDescent="0.25">
      <c r="A955" s="10" t="s">
        <v>1150</v>
      </c>
      <c r="B955" s="10"/>
      <c r="C955" s="10">
        <v>1</v>
      </c>
      <c r="D955" s="11">
        <v>42258</v>
      </c>
      <c r="E955" s="12">
        <v>43543</v>
      </c>
      <c r="F955" s="26" t="str">
        <f t="shared" si="30"/>
        <v>42 : 8</v>
      </c>
      <c r="G955" s="14">
        <f t="shared" si="31"/>
        <v>1285</v>
      </c>
      <c r="H955" s="9">
        <v>7</v>
      </c>
      <c r="I955" s="9">
        <v>1</v>
      </c>
      <c r="J955" s="9" t="s">
        <v>30</v>
      </c>
      <c r="K955" s="9" t="s">
        <v>30</v>
      </c>
      <c r="L955" s="20">
        <v>0.5</v>
      </c>
      <c r="M955" s="14">
        <v>0.5</v>
      </c>
      <c r="AD955" s="14">
        <v>0</v>
      </c>
      <c r="AE955" s="14">
        <v>0</v>
      </c>
      <c r="AG955" s="14" t="s">
        <v>53</v>
      </c>
    </row>
    <row r="956" spans="1:33" s="14" customFormat="1" x14ac:dyDescent="0.25">
      <c r="A956" s="10" t="s">
        <v>1150</v>
      </c>
      <c r="B956" s="10"/>
      <c r="C956" s="10">
        <v>1</v>
      </c>
      <c r="D956" s="11">
        <v>42258</v>
      </c>
      <c r="E956" s="12">
        <v>43543</v>
      </c>
      <c r="F956" s="26" t="str">
        <f t="shared" si="30"/>
        <v>42 : 8</v>
      </c>
      <c r="G956" s="14">
        <f t="shared" si="31"/>
        <v>1285</v>
      </c>
      <c r="H956" s="9">
        <v>7</v>
      </c>
      <c r="I956" s="9">
        <v>12</v>
      </c>
      <c r="J956" s="9" t="s">
        <v>30</v>
      </c>
      <c r="K956" s="9" t="s">
        <v>39</v>
      </c>
      <c r="L956" s="20">
        <v>-0.5</v>
      </c>
      <c r="M956" s="14">
        <v>-0.5</v>
      </c>
      <c r="AD956" s="14">
        <v>0</v>
      </c>
      <c r="AE956" s="14">
        <v>1</v>
      </c>
      <c r="AG956" s="14" t="s">
        <v>720</v>
      </c>
    </row>
    <row r="957" spans="1:33" s="14" customFormat="1" x14ac:dyDescent="0.25">
      <c r="A957" s="10" t="s">
        <v>1150</v>
      </c>
      <c r="B957" s="10"/>
      <c r="C957" s="10">
        <v>1</v>
      </c>
      <c r="D957" s="11">
        <v>42258</v>
      </c>
      <c r="E957" s="12">
        <v>43543</v>
      </c>
      <c r="F957" s="26" t="str">
        <f t="shared" si="30"/>
        <v>42 : 8</v>
      </c>
      <c r="G957" s="14">
        <f t="shared" si="31"/>
        <v>1285</v>
      </c>
      <c r="H957" s="9">
        <v>7</v>
      </c>
      <c r="I957" s="9">
        <v>11</v>
      </c>
      <c r="J957" s="9" t="s">
        <v>40</v>
      </c>
      <c r="K957" s="9" t="s">
        <v>40</v>
      </c>
      <c r="L957" s="20">
        <v>0.5</v>
      </c>
      <c r="M957" s="14">
        <v>0.5</v>
      </c>
      <c r="AD957" s="14">
        <v>0</v>
      </c>
      <c r="AE957" s="14">
        <v>0</v>
      </c>
      <c r="AG957" s="14" t="s">
        <v>138</v>
      </c>
    </row>
    <row r="958" spans="1:33" s="14" customFormat="1" x14ac:dyDescent="0.25">
      <c r="A958" s="10" t="s">
        <v>1150</v>
      </c>
      <c r="B958" s="10"/>
      <c r="C958" s="10">
        <v>1</v>
      </c>
      <c r="D958" s="11">
        <v>42258</v>
      </c>
      <c r="E958" s="12">
        <v>43543</v>
      </c>
      <c r="F958" s="26" t="str">
        <f t="shared" si="30"/>
        <v>42 : 8</v>
      </c>
      <c r="G958" s="14">
        <f t="shared" si="31"/>
        <v>1285</v>
      </c>
      <c r="H958" s="9">
        <v>7</v>
      </c>
      <c r="I958" s="9">
        <v>10</v>
      </c>
      <c r="J958" s="9" t="s">
        <v>33</v>
      </c>
      <c r="K958" s="9" t="s">
        <v>33</v>
      </c>
      <c r="L958" s="20">
        <v>-0.5</v>
      </c>
      <c r="M958" s="14">
        <v>0.5</v>
      </c>
      <c r="AD958" s="14">
        <v>0</v>
      </c>
      <c r="AE958" s="14">
        <v>1</v>
      </c>
      <c r="AG958" s="14" t="s">
        <v>45</v>
      </c>
    </row>
    <row r="959" spans="1:33" s="14" customFormat="1" x14ac:dyDescent="0.25">
      <c r="A959" s="10" t="s">
        <v>1150</v>
      </c>
      <c r="B959" s="10"/>
      <c r="C959" s="10">
        <v>1</v>
      </c>
      <c r="D959" s="11">
        <v>42258</v>
      </c>
      <c r="E959" s="12">
        <v>43543</v>
      </c>
      <c r="F959" s="26" t="str">
        <f t="shared" si="30"/>
        <v>42 : 8</v>
      </c>
      <c r="G959" s="14">
        <f t="shared" si="31"/>
        <v>1285</v>
      </c>
      <c r="H959" s="9">
        <v>7</v>
      </c>
      <c r="I959" s="9">
        <v>9</v>
      </c>
      <c r="J959" s="9" t="s">
        <v>40</v>
      </c>
      <c r="K959" s="9" t="s">
        <v>30</v>
      </c>
      <c r="L959" s="20">
        <v>-0.5</v>
      </c>
      <c r="M959" s="14">
        <v>-0.5</v>
      </c>
      <c r="AD959" s="14">
        <v>0</v>
      </c>
      <c r="AE959" s="14">
        <v>1</v>
      </c>
      <c r="AG959" s="14" t="s">
        <v>90</v>
      </c>
    </row>
    <row r="960" spans="1:33" s="14" customFormat="1" x14ac:dyDescent="0.25">
      <c r="A960" s="10" t="s">
        <v>1150</v>
      </c>
      <c r="B960" s="10"/>
      <c r="C960" s="10">
        <v>1</v>
      </c>
      <c r="D960" s="11">
        <v>42258</v>
      </c>
      <c r="E960" s="12">
        <v>43543</v>
      </c>
      <c r="F960" s="26" t="str">
        <f t="shared" si="30"/>
        <v>42 : 8</v>
      </c>
      <c r="G960" s="14">
        <f t="shared" si="31"/>
        <v>1285</v>
      </c>
      <c r="H960" s="9">
        <v>7</v>
      </c>
      <c r="I960" s="9">
        <v>8</v>
      </c>
      <c r="J960" s="9" t="s">
        <v>35</v>
      </c>
      <c r="K960" s="9" t="s">
        <v>32</v>
      </c>
      <c r="L960" s="20">
        <v>0.5</v>
      </c>
      <c r="M960" s="14">
        <v>-0.5</v>
      </c>
      <c r="AD960" s="14">
        <v>0</v>
      </c>
      <c r="AE960" s="14">
        <v>0</v>
      </c>
      <c r="AG960" s="14" t="s">
        <v>139</v>
      </c>
    </row>
    <row r="961" spans="1:34" s="14" customFormat="1" x14ac:dyDescent="0.25">
      <c r="A961" s="10" t="s">
        <v>1150</v>
      </c>
      <c r="B961" s="10"/>
      <c r="C961" s="10">
        <v>1</v>
      </c>
      <c r="D961" s="11">
        <v>42258</v>
      </c>
      <c r="E961" s="12">
        <v>43543</v>
      </c>
      <c r="F961" s="26" t="str">
        <f t="shared" si="30"/>
        <v>42 : 8</v>
      </c>
      <c r="G961" s="14">
        <f t="shared" si="31"/>
        <v>1285</v>
      </c>
      <c r="H961" s="9">
        <v>7</v>
      </c>
      <c r="I961" s="9">
        <v>7</v>
      </c>
      <c r="J961" s="9" t="s">
        <v>39</v>
      </c>
      <c r="K961" s="9" t="s">
        <v>39</v>
      </c>
      <c r="L961" s="20">
        <v>0.5</v>
      </c>
      <c r="M961" s="14">
        <v>0.5</v>
      </c>
      <c r="AD961" s="14">
        <v>0</v>
      </c>
      <c r="AE961" s="14">
        <v>0</v>
      </c>
      <c r="AG961" s="14" t="s">
        <v>67</v>
      </c>
    </row>
    <row r="962" spans="1:34" s="14" customFormat="1" x14ac:dyDescent="0.25">
      <c r="A962" s="10" t="s">
        <v>1153</v>
      </c>
      <c r="B962" s="10"/>
      <c r="C962" s="10">
        <v>1</v>
      </c>
      <c r="D962" s="11">
        <v>42255</v>
      </c>
      <c r="E962" s="12">
        <v>43551</v>
      </c>
      <c r="F962" s="26" t="str">
        <f t="shared" si="30"/>
        <v>42 : 19</v>
      </c>
      <c r="G962" s="14">
        <f t="shared" si="31"/>
        <v>1296</v>
      </c>
      <c r="H962" s="9">
        <v>6</v>
      </c>
      <c r="I962" s="9" t="s">
        <v>143</v>
      </c>
      <c r="J962" s="9" t="s">
        <v>40</v>
      </c>
      <c r="K962" s="9" t="s">
        <v>39</v>
      </c>
      <c r="L962" s="20">
        <v>0.5</v>
      </c>
      <c r="M962" s="14">
        <v>-0.5</v>
      </c>
      <c r="AD962" s="14">
        <v>1</v>
      </c>
      <c r="AE962" s="14">
        <v>1</v>
      </c>
      <c r="AG962" s="14" t="s">
        <v>1154</v>
      </c>
      <c r="AH962" s="14" t="s">
        <v>1155</v>
      </c>
    </row>
    <row r="963" spans="1:34" s="14" customFormat="1" x14ac:dyDescent="0.25">
      <c r="A963" s="10" t="s">
        <v>1153</v>
      </c>
      <c r="B963" s="10"/>
      <c r="C963" s="10">
        <v>1</v>
      </c>
      <c r="D963" s="11">
        <v>42255</v>
      </c>
      <c r="E963" s="12">
        <v>43551</v>
      </c>
      <c r="F963" s="26" t="str">
        <f t="shared" si="30"/>
        <v>42 : 19</v>
      </c>
      <c r="G963" s="14">
        <f t="shared" si="31"/>
        <v>1296</v>
      </c>
      <c r="H963" s="9">
        <v>6</v>
      </c>
      <c r="I963" s="9" t="s">
        <v>145</v>
      </c>
      <c r="J963" s="9" t="s">
        <v>35</v>
      </c>
      <c r="K963" s="9" t="s">
        <v>33</v>
      </c>
      <c r="L963" s="20">
        <v>-0.5</v>
      </c>
      <c r="M963" s="14">
        <v>-0.5</v>
      </c>
      <c r="Y963" s="14">
        <v>1</v>
      </c>
      <c r="AD963" s="14">
        <v>0</v>
      </c>
      <c r="AE963" s="14">
        <v>1</v>
      </c>
      <c r="AF963" s="14" t="s">
        <v>1156</v>
      </c>
      <c r="AG963" s="14" t="s">
        <v>1157</v>
      </c>
    </row>
    <row r="964" spans="1:34" s="14" customFormat="1" x14ac:dyDescent="0.25">
      <c r="A964" s="10" t="s">
        <v>1153</v>
      </c>
      <c r="B964" s="10"/>
      <c r="C964" s="10">
        <v>1</v>
      </c>
      <c r="D964" s="11">
        <v>42255</v>
      </c>
      <c r="E964" s="12">
        <v>43551</v>
      </c>
      <c r="F964" s="26" t="str">
        <f t="shared" si="30"/>
        <v>42 : 19</v>
      </c>
      <c r="G964" s="14">
        <f t="shared" si="31"/>
        <v>1296</v>
      </c>
      <c r="H964" s="9">
        <v>6</v>
      </c>
      <c r="I964" s="9" t="s">
        <v>146</v>
      </c>
      <c r="J964" s="9" t="s">
        <v>32</v>
      </c>
      <c r="K964" s="9" t="s">
        <v>32</v>
      </c>
      <c r="L964" s="20">
        <v>0.5</v>
      </c>
      <c r="M964" s="14">
        <v>0.5</v>
      </c>
      <c r="R964" s="14">
        <v>1</v>
      </c>
      <c r="Y964" s="14">
        <v>1</v>
      </c>
      <c r="Z964" s="14">
        <v>1</v>
      </c>
      <c r="AA964" s="14">
        <v>1</v>
      </c>
      <c r="AF964" s="14" t="s">
        <v>1158</v>
      </c>
      <c r="AG964" s="14" t="s">
        <v>1002</v>
      </c>
    </row>
    <row r="965" spans="1:34" s="14" customFormat="1" x14ac:dyDescent="0.25">
      <c r="A965" s="10" t="s">
        <v>1153</v>
      </c>
      <c r="B965" s="10"/>
      <c r="C965" s="10">
        <v>1</v>
      </c>
      <c r="D965" s="11">
        <v>42255</v>
      </c>
      <c r="E965" s="12">
        <v>43551</v>
      </c>
      <c r="F965" s="26" t="str">
        <f t="shared" si="30"/>
        <v>42 : 19</v>
      </c>
      <c r="G965" s="14">
        <f t="shared" si="31"/>
        <v>1296</v>
      </c>
      <c r="H965" s="9">
        <v>6</v>
      </c>
      <c r="I965" s="9" t="s">
        <v>147</v>
      </c>
      <c r="J965" s="9" t="s">
        <v>35</v>
      </c>
      <c r="K965" s="9" t="s">
        <v>35</v>
      </c>
      <c r="L965" s="20">
        <v>0.5</v>
      </c>
      <c r="M965" s="14">
        <v>0.5</v>
      </c>
      <c r="R965" s="14">
        <v>1</v>
      </c>
      <c r="Y965" s="14">
        <v>1</v>
      </c>
      <c r="Z965" s="14">
        <v>1</v>
      </c>
      <c r="AA965" s="14">
        <v>1</v>
      </c>
      <c r="AF965" s="14" t="s">
        <v>1159</v>
      </c>
      <c r="AG965" s="14" t="s">
        <v>1160</v>
      </c>
    </row>
    <row r="966" spans="1:34" s="14" customFormat="1" x14ac:dyDescent="0.25">
      <c r="A966" s="10" t="s">
        <v>1153</v>
      </c>
      <c r="B966" s="10"/>
      <c r="C966" s="10">
        <v>1</v>
      </c>
      <c r="D966" s="11">
        <v>42255</v>
      </c>
      <c r="E966" s="12">
        <v>43551</v>
      </c>
      <c r="F966" s="26" t="str">
        <f t="shared" si="30"/>
        <v>42 : 19</v>
      </c>
      <c r="G966" s="14">
        <f t="shared" si="31"/>
        <v>1296</v>
      </c>
      <c r="H966" s="9">
        <v>6</v>
      </c>
      <c r="I966" s="9" t="s">
        <v>148</v>
      </c>
      <c r="J966" s="9" t="s">
        <v>33</v>
      </c>
      <c r="K966" s="9" t="s">
        <v>32</v>
      </c>
      <c r="L966" s="20">
        <v>-0.5</v>
      </c>
      <c r="M966" s="14">
        <v>-0.5</v>
      </c>
      <c r="Q966" s="14">
        <v>1</v>
      </c>
      <c r="R966" s="14">
        <v>1</v>
      </c>
      <c r="Y966" s="14">
        <v>1</v>
      </c>
      <c r="Z966" s="14">
        <v>1</v>
      </c>
      <c r="AA966" s="14">
        <v>1</v>
      </c>
      <c r="AF966" s="14" t="s">
        <v>1161</v>
      </c>
      <c r="AG966" s="14" t="s">
        <v>163</v>
      </c>
    </row>
    <row r="967" spans="1:34" s="14" customFormat="1" x14ac:dyDescent="0.25">
      <c r="A967" s="10" t="s">
        <v>1153</v>
      </c>
      <c r="B967" s="10"/>
      <c r="C967" s="10">
        <v>1</v>
      </c>
      <c r="D967" s="11">
        <v>42255</v>
      </c>
      <c r="E967" s="12">
        <v>43551</v>
      </c>
      <c r="F967" s="26" t="str">
        <f t="shared" si="30"/>
        <v>42 : 19</v>
      </c>
      <c r="G967" s="14">
        <f t="shared" si="31"/>
        <v>1296</v>
      </c>
      <c r="H967" s="9">
        <v>6</v>
      </c>
      <c r="I967" s="9" t="s">
        <v>152</v>
      </c>
      <c r="J967" s="9" t="s">
        <v>30</v>
      </c>
      <c r="K967" s="9" t="s">
        <v>30</v>
      </c>
      <c r="L967" s="20">
        <v>-0.5</v>
      </c>
      <c r="M967" s="14">
        <v>0.5</v>
      </c>
      <c r="T967" s="14">
        <v>1</v>
      </c>
      <c r="Y967" s="14">
        <v>1</v>
      </c>
      <c r="AA967" s="14">
        <v>1</v>
      </c>
      <c r="AF967" s="14" t="s">
        <v>1162</v>
      </c>
      <c r="AG967" s="14" t="s">
        <v>477</v>
      </c>
    </row>
    <row r="968" spans="1:34" s="14" customFormat="1" x14ac:dyDescent="0.25">
      <c r="A968" s="10" t="s">
        <v>1153</v>
      </c>
      <c r="B968" s="10"/>
      <c r="C968" s="10">
        <v>1</v>
      </c>
      <c r="D968" s="11">
        <v>42255</v>
      </c>
      <c r="E968" s="12">
        <v>43551</v>
      </c>
      <c r="F968" s="26" t="str">
        <f t="shared" si="30"/>
        <v>42 : 19</v>
      </c>
      <c r="G968" s="14">
        <f t="shared" si="31"/>
        <v>1296</v>
      </c>
      <c r="H968" s="9">
        <v>6</v>
      </c>
      <c r="I968" s="9" t="s">
        <v>153</v>
      </c>
      <c r="J968" s="9" t="s">
        <v>39</v>
      </c>
      <c r="K968" s="9" t="s">
        <v>39</v>
      </c>
      <c r="L968" s="20">
        <v>0.5</v>
      </c>
      <c r="M968" s="9">
        <v>0.5</v>
      </c>
      <c r="O968" s="14">
        <v>1</v>
      </c>
      <c r="R968" s="14">
        <v>1</v>
      </c>
      <c r="Z968" s="14">
        <v>1</v>
      </c>
      <c r="AA968" s="14">
        <v>1</v>
      </c>
      <c r="AF968" s="14" t="s">
        <v>1163</v>
      </c>
      <c r="AG968" s="14" t="s">
        <v>444</v>
      </c>
    </row>
    <row r="969" spans="1:34" s="14" customFormat="1" x14ac:dyDescent="0.25">
      <c r="A969" s="10" t="s">
        <v>1153</v>
      </c>
      <c r="B969" s="10"/>
      <c r="C969" s="10">
        <v>1</v>
      </c>
      <c r="D969" s="11">
        <v>42255</v>
      </c>
      <c r="E969" s="12">
        <v>43551</v>
      </c>
      <c r="F969" s="26" t="str">
        <f t="shared" si="30"/>
        <v>42 : 19</v>
      </c>
      <c r="G969" s="14">
        <f t="shared" si="31"/>
        <v>1296</v>
      </c>
      <c r="H969" s="9">
        <v>6</v>
      </c>
      <c r="I969" s="9" t="s">
        <v>154</v>
      </c>
      <c r="J969" s="9" t="s">
        <v>40</v>
      </c>
      <c r="K969" s="9" t="s">
        <v>40</v>
      </c>
      <c r="L969" s="20">
        <v>-0.5</v>
      </c>
      <c r="M969" s="14">
        <v>0.5</v>
      </c>
      <c r="AD969" s="14">
        <v>0</v>
      </c>
      <c r="AE969" s="14">
        <v>1</v>
      </c>
      <c r="AF969" s="14" t="s">
        <v>1164</v>
      </c>
      <c r="AG969" s="14" t="s">
        <v>1165</v>
      </c>
    </row>
    <row r="970" spans="1:34" s="14" customFormat="1" x14ac:dyDescent="0.25">
      <c r="A970" s="10" t="s">
        <v>1153</v>
      </c>
      <c r="B970" s="10"/>
      <c r="C970" s="10">
        <v>1</v>
      </c>
      <c r="D970" s="11">
        <v>42255</v>
      </c>
      <c r="E970" s="12">
        <v>43551</v>
      </c>
      <c r="F970" s="26" t="str">
        <f t="shared" si="30"/>
        <v>42 : 19</v>
      </c>
      <c r="G970" s="14">
        <f t="shared" si="31"/>
        <v>1296</v>
      </c>
      <c r="H970" s="9">
        <v>6</v>
      </c>
      <c r="I970" s="9" t="s">
        <v>155</v>
      </c>
      <c r="J970" s="9" t="s">
        <v>33</v>
      </c>
      <c r="K970" s="9" t="s">
        <v>33</v>
      </c>
      <c r="L970" s="20">
        <v>0.5</v>
      </c>
      <c r="M970" s="14">
        <v>0.5</v>
      </c>
      <c r="AD970" s="14">
        <v>0</v>
      </c>
      <c r="AE970" s="14">
        <v>0</v>
      </c>
      <c r="AF970" s="14" t="s">
        <v>1166</v>
      </c>
      <c r="AG970" s="14" t="s">
        <v>1167</v>
      </c>
    </row>
    <row r="971" spans="1:34" s="14" customFormat="1" x14ac:dyDescent="0.25">
      <c r="A971" s="10" t="s">
        <v>1153</v>
      </c>
      <c r="B971" s="10"/>
      <c r="C971" s="10">
        <v>1</v>
      </c>
      <c r="D971" s="11">
        <v>42255</v>
      </c>
      <c r="E971" s="12">
        <v>43551</v>
      </c>
      <c r="F971" s="26" t="str">
        <f t="shared" si="30"/>
        <v>42 : 19</v>
      </c>
      <c r="G971" s="14">
        <f t="shared" si="31"/>
        <v>1296</v>
      </c>
      <c r="H971" s="9">
        <v>6</v>
      </c>
      <c r="I971" s="9" t="s">
        <v>156</v>
      </c>
      <c r="J971" s="9" t="s">
        <v>30</v>
      </c>
      <c r="K971" s="9" t="s">
        <v>40</v>
      </c>
      <c r="L971" s="20">
        <v>0.5</v>
      </c>
      <c r="M971" s="14">
        <v>-0.5</v>
      </c>
      <c r="R971" s="14">
        <v>1</v>
      </c>
      <c r="Y971" s="14">
        <v>1</v>
      </c>
      <c r="Z971" s="14">
        <v>1</v>
      </c>
      <c r="AA971" s="14">
        <v>1</v>
      </c>
      <c r="AF971" s="14" t="s">
        <v>1168</v>
      </c>
      <c r="AG971" s="14" t="s">
        <v>168</v>
      </c>
    </row>
    <row r="972" spans="1:34" s="14" customFormat="1" x14ac:dyDescent="0.25">
      <c r="A972" s="10" t="s">
        <v>1153</v>
      </c>
      <c r="B972" s="10"/>
      <c r="C972" s="10">
        <v>1</v>
      </c>
      <c r="D972" s="11">
        <v>42255</v>
      </c>
      <c r="E972" s="12">
        <v>43551</v>
      </c>
      <c r="F972" s="26" t="str">
        <f t="shared" si="30"/>
        <v>42 : 19</v>
      </c>
      <c r="G972" s="14">
        <f t="shared" si="31"/>
        <v>1296</v>
      </c>
      <c r="H972" s="9">
        <v>6</v>
      </c>
      <c r="I972" s="9" t="s">
        <v>157</v>
      </c>
      <c r="J972" s="9" t="s">
        <v>32</v>
      </c>
      <c r="K972" s="9" t="s">
        <v>35</v>
      </c>
      <c r="L972" s="20">
        <v>-0.5</v>
      </c>
      <c r="M972" s="14">
        <v>-0.5</v>
      </c>
      <c r="R972" s="14">
        <v>1</v>
      </c>
      <c r="Y972" s="14">
        <v>1</v>
      </c>
      <c r="Z972" s="14">
        <v>1</v>
      </c>
      <c r="AA972" s="14">
        <v>1</v>
      </c>
      <c r="AF972" s="14" t="s">
        <v>1169</v>
      </c>
      <c r="AG972" s="14" t="s">
        <v>339</v>
      </c>
    </row>
    <row r="973" spans="1:34" s="14" customFormat="1" x14ac:dyDescent="0.25">
      <c r="A973" s="10" t="s">
        <v>1153</v>
      </c>
      <c r="B973" s="10"/>
      <c r="C973" s="10">
        <v>1</v>
      </c>
      <c r="D973" s="11">
        <v>42255</v>
      </c>
      <c r="E973" s="12">
        <v>43551</v>
      </c>
      <c r="F973" s="26" t="str">
        <f t="shared" si="30"/>
        <v>42 : 19</v>
      </c>
      <c r="G973" s="14">
        <f t="shared" si="31"/>
        <v>1296</v>
      </c>
      <c r="H973" s="9">
        <v>6</v>
      </c>
      <c r="I973" s="9" t="s">
        <v>158</v>
      </c>
      <c r="J973" s="9" t="s">
        <v>39</v>
      </c>
      <c r="K973" s="9" t="s">
        <v>39</v>
      </c>
      <c r="L973" s="20">
        <v>-0.5</v>
      </c>
      <c r="M973" s="14">
        <v>0.5</v>
      </c>
      <c r="Y973" s="14">
        <v>1</v>
      </c>
      <c r="AA973" s="14">
        <v>1</v>
      </c>
      <c r="AF973" s="14" t="s">
        <v>1170</v>
      </c>
      <c r="AG973" s="14" t="s">
        <v>1061</v>
      </c>
    </row>
    <row r="974" spans="1:34" s="14" customFormat="1" x14ac:dyDescent="0.25">
      <c r="A974" s="10" t="s">
        <v>1171</v>
      </c>
      <c r="B974" s="10"/>
      <c r="C974" s="10">
        <v>1</v>
      </c>
      <c r="D974" s="11">
        <v>42252</v>
      </c>
      <c r="E974" s="12">
        <v>43545</v>
      </c>
      <c r="F974" s="26" t="str">
        <f t="shared" si="30"/>
        <v>42 : 16</v>
      </c>
      <c r="G974" s="14">
        <f t="shared" si="31"/>
        <v>1293</v>
      </c>
      <c r="H974" s="9">
        <v>1</v>
      </c>
      <c r="I974" s="9">
        <v>1</v>
      </c>
      <c r="J974" s="9" t="s">
        <v>30</v>
      </c>
      <c r="K974" s="9" t="s">
        <v>30</v>
      </c>
      <c r="L974" s="15">
        <v>-0.5</v>
      </c>
      <c r="M974" s="14">
        <v>0.5</v>
      </c>
      <c r="AD974" s="14">
        <v>0</v>
      </c>
      <c r="AE974" s="14">
        <v>1</v>
      </c>
      <c r="AG974" s="14" t="s">
        <v>48</v>
      </c>
    </row>
    <row r="975" spans="1:34" s="14" customFormat="1" x14ac:dyDescent="0.25">
      <c r="A975" s="10" t="s">
        <v>1171</v>
      </c>
      <c r="B975" s="10"/>
      <c r="C975" s="10">
        <v>1</v>
      </c>
      <c r="D975" s="11">
        <v>42252</v>
      </c>
      <c r="E975" s="12">
        <v>43545</v>
      </c>
      <c r="F975" s="26" t="str">
        <f t="shared" si="30"/>
        <v>42 : 16</v>
      </c>
      <c r="G975" s="14">
        <f t="shared" si="31"/>
        <v>1293</v>
      </c>
      <c r="H975" s="9">
        <v>1</v>
      </c>
      <c r="I975" s="9">
        <v>2</v>
      </c>
      <c r="J975" s="9" t="s">
        <v>32</v>
      </c>
      <c r="K975" s="9" t="s">
        <v>33</v>
      </c>
      <c r="L975" s="15">
        <v>-0.5</v>
      </c>
      <c r="M975" s="14">
        <v>-0.5</v>
      </c>
      <c r="R975" s="14">
        <v>1</v>
      </c>
      <c r="Y975" s="14">
        <v>1</v>
      </c>
      <c r="AA975" s="14">
        <v>1</v>
      </c>
      <c r="AD975" s="13"/>
      <c r="AE975" s="13"/>
      <c r="AF975" s="14" t="s">
        <v>1172</v>
      </c>
      <c r="AG975" s="14" t="s">
        <v>621</v>
      </c>
    </row>
    <row r="976" spans="1:34" s="14" customFormat="1" x14ac:dyDescent="0.25">
      <c r="A976" s="10" t="s">
        <v>1171</v>
      </c>
      <c r="B976" s="10"/>
      <c r="C976" s="10">
        <v>1</v>
      </c>
      <c r="D976" s="11">
        <v>42252</v>
      </c>
      <c r="E976" s="12">
        <v>43545</v>
      </c>
      <c r="F976" s="26" t="str">
        <f t="shared" si="30"/>
        <v>42 : 16</v>
      </c>
      <c r="G976" s="14">
        <f t="shared" si="31"/>
        <v>1293</v>
      </c>
      <c r="H976" s="9">
        <v>1</v>
      </c>
      <c r="I976" s="9">
        <v>3</v>
      </c>
      <c r="J976" s="9" t="s">
        <v>35</v>
      </c>
      <c r="K976" s="9" t="s">
        <v>35</v>
      </c>
      <c r="L976" s="15">
        <v>0.5</v>
      </c>
      <c r="M976" s="14">
        <v>0.5</v>
      </c>
      <c r="S976" s="14">
        <v>0</v>
      </c>
      <c r="AD976" s="14">
        <v>0</v>
      </c>
      <c r="AE976" s="14">
        <v>0</v>
      </c>
      <c r="AF976" s="14" t="s">
        <v>1173</v>
      </c>
      <c r="AG976" s="14" t="s">
        <v>1174</v>
      </c>
      <c r="AH976" s="14" t="s">
        <v>1175</v>
      </c>
    </row>
    <row r="977" spans="1:33" s="14" customFormat="1" x14ac:dyDescent="0.25">
      <c r="A977" s="10" t="s">
        <v>1171</v>
      </c>
      <c r="B977" s="10"/>
      <c r="C977" s="10">
        <v>1</v>
      </c>
      <c r="D977" s="11">
        <v>42252</v>
      </c>
      <c r="E977" s="12">
        <v>43545</v>
      </c>
      <c r="F977" s="26" t="str">
        <f t="shared" si="30"/>
        <v>42 : 16</v>
      </c>
      <c r="G977" s="14">
        <f t="shared" si="31"/>
        <v>1293</v>
      </c>
      <c r="H977" s="9">
        <v>1</v>
      </c>
      <c r="I977" s="9">
        <v>4</v>
      </c>
      <c r="J977" s="9" t="s">
        <v>32</v>
      </c>
      <c r="K977" s="9" t="s">
        <v>32</v>
      </c>
      <c r="L977" s="15">
        <v>0.5</v>
      </c>
      <c r="M977" s="14">
        <v>0.5</v>
      </c>
      <c r="AD977" s="14">
        <v>0</v>
      </c>
      <c r="AE977" s="14">
        <v>0</v>
      </c>
      <c r="AG977" s="14" t="s">
        <v>1176</v>
      </c>
    </row>
    <row r="978" spans="1:33" s="14" customFormat="1" x14ac:dyDescent="0.25">
      <c r="A978" s="10" t="s">
        <v>1171</v>
      </c>
      <c r="B978" s="10"/>
      <c r="C978" s="10">
        <v>1</v>
      </c>
      <c r="D978" s="11">
        <v>42252</v>
      </c>
      <c r="E978" s="12">
        <v>43545</v>
      </c>
      <c r="F978" s="26" t="str">
        <f t="shared" si="30"/>
        <v>42 : 16</v>
      </c>
      <c r="G978" s="14">
        <f t="shared" si="31"/>
        <v>1293</v>
      </c>
      <c r="H978" s="9">
        <v>1</v>
      </c>
      <c r="I978" s="9">
        <v>5</v>
      </c>
      <c r="J978" s="9" t="s">
        <v>33</v>
      </c>
      <c r="K978" s="9" t="s">
        <v>35</v>
      </c>
      <c r="L978" s="15">
        <v>-0.5</v>
      </c>
      <c r="M978" s="14">
        <v>-0.5</v>
      </c>
      <c r="V978" s="14" t="s">
        <v>276</v>
      </c>
      <c r="AD978" s="14">
        <v>0</v>
      </c>
      <c r="AE978" s="14">
        <v>1</v>
      </c>
      <c r="AG978" s="14" t="s">
        <v>662</v>
      </c>
    </row>
    <row r="979" spans="1:33" s="14" customFormat="1" x14ac:dyDescent="0.25">
      <c r="A979" s="10" t="s">
        <v>1171</v>
      </c>
      <c r="B979" s="10"/>
      <c r="C979" s="10">
        <v>1</v>
      </c>
      <c r="D979" s="11">
        <v>42252</v>
      </c>
      <c r="E979" s="12">
        <v>43545</v>
      </c>
      <c r="F979" s="26" t="str">
        <f t="shared" si="30"/>
        <v>42 : 16</v>
      </c>
      <c r="G979" s="14">
        <f t="shared" si="31"/>
        <v>1293</v>
      </c>
      <c r="H979" s="9">
        <v>1</v>
      </c>
      <c r="I979" s="9">
        <v>6</v>
      </c>
      <c r="J979" s="9" t="s">
        <v>39</v>
      </c>
      <c r="K979" s="9" t="s">
        <v>40</v>
      </c>
      <c r="L979" s="15">
        <v>0.5</v>
      </c>
      <c r="M979" s="14">
        <v>-0.5</v>
      </c>
      <c r="Y979" s="14">
        <v>1</v>
      </c>
      <c r="AD979" s="14">
        <v>0</v>
      </c>
      <c r="AE979" s="14">
        <v>0</v>
      </c>
      <c r="AF979" s="14" t="s">
        <v>1177</v>
      </c>
      <c r="AG979" s="14" t="s">
        <v>1178</v>
      </c>
    </row>
    <row r="980" spans="1:33" s="14" customFormat="1" x14ac:dyDescent="0.25">
      <c r="A980" s="10" t="s">
        <v>1171</v>
      </c>
      <c r="B980" s="10"/>
      <c r="C980" s="10">
        <v>1</v>
      </c>
      <c r="D980" s="11">
        <v>42252</v>
      </c>
      <c r="E980" s="12">
        <v>43545</v>
      </c>
      <c r="F980" s="26" t="str">
        <f t="shared" si="30"/>
        <v>42 : 16</v>
      </c>
      <c r="G980" s="14">
        <f t="shared" si="31"/>
        <v>1293</v>
      </c>
      <c r="H980" s="9">
        <v>1</v>
      </c>
      <c r="I980" s="9">
        <v>7</v>
      </c>
      <c r="J980" s="9" t="s">
        <v>39</v>
      </c>
      <c r="K980" s="9" t="s">
        <v>39</v>
      </c>
      <c r="L980" s="15">
        <v>-0.5</v>
      </c>
      <c r="M980" s="14">
        <v>0.5</v>
      </c>
      <c r="AD980" s="14">
        <v>0</v>
      </c>
      <c r="AE980" s="14">
        <v>1</v>
      </c>
      <c r="AG980" s="14" t="s">
        <v>42</v>
      </c>
    </row>
    <row r="981" spans="1:33" s="14" customFormat="1" x14ac:dyDescent="0.25">
      <c r="A981" s="10" t="s">
        <v>1171</v>
      </c>
      <c r="B981" s="10"/>
      <c r="C981" s="10">
        <v>1</v>
      </c>
      <c r="D981" s="11">
        <v>42252</v>
      </c>
      <c r="E981" s="12">
        <v>43545</v>
      </c>
      <c r="F981" s="26" t="str">
        <f t="shared" si="30"/>
        <v>42 : 16</v>
      </c>
      <c r="G981" s="14">
        <f t="shared" si="31"/>
        <v>1293</v>
      </c>
      <c r="H981" s="9">
        <v>1</v>
      </c>
      <c r="I981" s="9">
        <v>8</v>
      </c>
      <c r="J981" s="9" t="s">
        <v>35</v>
      </c>
      <c r="K981" s="9" t="s">
        <v>32</v>
      </c>
      <c r="L981" s="15">
        <v>-0.5</v>
      </c>
      <c r="M981" s="14">
        <v>-0.5</v>
      </c>
      <c r="S981" s="14">
        <v>0</v>
      </c>
      <c r="AD981" s="14">
        <v>0</v>
      </c>
      <c r="AE981" s="14">
        <v>1</v>
      </c>
      <c r="AF981" s="14" t="s">
        <v>1179</v>
      </c>
      <c r="AG981" s="14" t="s">
        <v>1180</v>
      </c>
    </row>
    <row r="982" spans="1:33" s="14" customFormat="1" x14ac:dyDescent="0.25">
      <c r="A982" s="10" t="s">
        <v>1171</v>
      </c>
      <c r="B982" s="10"/>
      <c r="C982" s="10">
        <v>1</v>
      </c>
      <c r="D982" s="11">
        <v>42252</v>
      </c>
      <c r="E982" s="12">
        <v>43545</v>
      </c>
      <c r="F982" s="26" t="str">
        <f t="shared" si="30"/>
        <v>42 : 16</v>
      </c>
      <c r="G982" s="14">
        <f t="shared" si="31"/>
        <v>1293</v>
      </c>
      <c r="H982" s="9">
        <v>1</v>
      </c>
      <c r="I982" s="9">
        <v>9</v>
      </c>
      <c r="J982" s="9" t="s">
        <v>40</v>
      </c>
      <c r="K982" s="9" t="s">
        <v>30</v>
      </c>
      <c r="L982" s="15">
        <v>0.5</v>
      </c>
      <c r="M982" s="14">
        <v>-0.5</v>
      </c>
      <c r="AD982" s="14">
        <v>0</v>
      </c>
      <c r="AE982" s="14">
        <v>0</v>
      </c>
      <c r="AG982" s="14" t="s">
        <v>1181</v>
      </c>
    </row>
    <row r="983" spans="1:33" s="14" customFormat="1" x14ac:dyDescent="0.25">
      <c r="A983" s="10" t="s">
        <v>1171</v>
      </c>
      <c r="B983" s="10"/>
      <c r="C983" s="10">
        <v>1</v>
      </c>
      <c r="D983" s="11">
        <v>42252</v>
      </c>
      <c r="E983" s="12">
        <v>43545</v>
      </c>
      <c r="F983" s="26" t="str">
        <f t="shared" si="30"/>
        <v>42 : 16</v>
      </c>
      <c r="G983" s="14">
        <f t="shared" si="31"/>
        <v>1293</v>
      </c>
      <c r="H983" s="9">
        <v>1</v>
      </c>
      <c r="I983" s="9">
        <v>10</v>
      </c>
      <c r="J983" s="9" t="s">
        <v>33</v>
      </c>
      <c r="K983" s="9" t="s">
        <v>33</v>
      </c>
      <c r="L983" s="15">
        <v>0.5</v>
      </c>
      <c r="M983" s="14">
        <v>0.5</v>
      </c>
      <c r="AD983" s="14">
        <v>0</v>
      </c>
      <c r="AE983" s="14">
        <v>0</v>
      </c>
      <c r="AG983" s="14" t="s">
        <v>1182</v>
      </c>
    </row>
    <row r="984" spans="1:33" s="14" customFormat="1" x14ac:dyDescent="0.25">
      <c r="A984" s="10" t="s">
        <v>1171</v>
      </c>
      <c r="B984" s="10"/>
      <c r="C984" s="10">
        <v>1</v>
      </c>
      <c r="D984" s="11">
        <v>42252</v>
      </c>
      <c r="E984" s="12">
        <v>43545</v>
      </c>
      <c r="F984" s="26" t="str">
        <f t="shared" si="30"/>
        <v>42 : 16</v>
      </c>
      <c r="G984" s="14">
        <f t="shared" si="31"/>
        <v>1293</v>
      </c>
      <c r="H984" s="9">
        <v>1</v>
      </c>
      <c r="I984" s="9">
        <v>11</v>
      </c>
      <c r="J984" s="9" t="s">
        <v>40</v>
      </c>
      <c r="K984" s="9" t="s">
        <v>40</v>
      </c>
      <c r="L984" s="15">
        <v>-0.5</v>
      </c>
      <c r="M984" s="14">
        <v>0.5</v>
      </c>
      <c r="AD984" s="14">
        <v>0</v>
      </c>
      <c r="AE984" s="14">
        <v>1</v>
      </c>
      <c r="AG984" s="14" t="s">
        <v>1183</v>
      </c>
    </row>
    <row r="985" spans="1:33" s="14" customFormat="1" x14ac:dyDescent="0.25">
      <c r="A985" s="10" t="s">
        <v>1171</v>
      </c>
      <c r="B985" s="10"/>
      <c r="C985" s="10">
        <v>1</v>
      </c>
      <c r="D985" s="11">
        <v>42252</v>
      </c>
      <c r="E985" s="12">
        <v>43545</v>
      </c>
      <c r="F985" s="26" t="str">
        <f t="shared" si="30"/>
        <v>42 : 16</v>
      </c>
      <c r="G985" s="14">
        <f t="shared" si="31"/>
        <v>1293</v>
      </c>
      <c r="H985" s="9">
        <v>1</v>
      </c>
      <c r="I985" s="9">
        <v>12</v>
      </c>
      <c r="J985" s="9" t="s">
        <v>30</v>
      </c>
      <c r="K985" s="9" t="s">
        <v>39</v>
      </c>
      <c r="L985" s="15">
        <v>0.5</v>
      </c>
      <c r="M985" s="14">
        <v>-0.5</v>
      </c>
      <c r="AD985" s="14">
        <v>0</v>
      </c>
      <c r="AE985" s="14">
        <v>0</v>
      </c>
      <c r="AG985" s="14" t="s">
        <v>1184</v>
      </c>
    </row>
    <row r="986" spans="1:33" s="14" customFormat="1" x14ac:dyDescent="0.25">
      <c r="A986" s="10" t="s">
        <v>1185</v>
      </c>
      <c r="B986" s="10"/>
      <c r="C986" s="10">
        <v>0</v>
      </c>
      <c r="D986" s="11">
        <v>42247</v>
      </c>
      <c r="E986" s="12">
        <v>43551</v>
      </c>
      <c r="F986" s="26" t="str">
        <f t="shared" si="30"/>
        <v>42 : 24</v>
      </c>
      <c r="G986" s="14">
        <f t="shared" si="31"/>
        <v>1304</v>
      </c>
      <c r="H986" s="9">
        <v>5</v>
      </c>
      <c r="I986" s="9">
        <v>6</v>
      </c>
      <c r="J986" s="9" t="s">
        <v>39</v>
      </c>
      <c r="K986" s="9" t="s">
        <v>40</v>
      </c>
      <c r="L986" s="20">
        <v>0.5</v>
      </c>
      <c r="M986" s="14">
        <v>-0.5</v>
      </c>
      <c r="AD986" s="14">
        <v>0</v>
      </c>
      <c r="AE986" s="14">
        <v>0</v>
      </c>
      <c r="AG986" s="14" t="s">
        <v>1186</v>
      </c>
    </row>
    <row r="987" spans="1:33" s="14" customFormat="1" x14ac:dyDescent="0.25">
      <c r="A987" s="10" t="s">
        <v>1185</v>
      </c>
      <c r="B987" s="10"/>
      <c r="C987" s="10">
        <v>0</v>
      </c>
      <c r="D987" s="11">
        <v>42247</v>
      </c>
      <c r="E987" s="12">
        <v>43551</v>
      </c>
      <c r="F987" s="26" t="str">
        <f t="shared" si="30"/>
        <v>42 : 24</v>
      </c>
      <c r="G987" s="14">
        <f t="shared" si="31"/>
        <v>1304</v>
      </c>
      <c r="H987" s="9">
        <v>5</v>
      </c>
      <c r="I987" s="9">
        <v>5</v>
      </c>
      <c r="J987" s="9" t="s">
        <v>33</v>
      </c>
      <c r="K987" s="9" t="s">
        <v>35</v>
      </c>
      <c r="L987" s="20">
        <v>-0.5</v>
      </c>
      <c r="M987" s="14">
        <v>-0.5</v>
      </c>
      <c r="AD987" s="14">
        <v>0</v>
      </c>
      <c r="AE987" s="14">
        <v>1</v>
      </c>
      <c r="AG987" s="14" t="s">
        <v>343</v>
      </c>
    </row>
    <row r="988" spans="1:33" s="14" customFormat="1" x14ac:dyDescent="0.25">
      <c r="A988" s="10" t="s">
        <v>1185</v>
      </c>
      <c r="B988" s="10"/>
      <c r="C988" s="10">
        <v>0</v>
      </c>
      <c r="D988" s="11">
        <v>42247</v>
      </c>
      <c r="E988" s="12">
        <v>43551</v>
      </c>
      <c r="F988" s="26" t="str">
        <f t="shared" si="30"/>
        <v>42 : 24</v>
      </c>
      <c r="G988" s="14">
        <f t="shared" si="31"/>
        <v>1304</v>
      </c>
      <c r="H988" s="9">
        <v>5</v>
      </c>
      <c r="I988" s="9">
        <v>4</v>
      </c>
      <c r="J988" s="9" t="s">
        <v>32</v>
      </c>
      <c r="K988" s="9" t="s">
        <v>32</v>
      </c>
      <c r="L988" s="20">
        <v>0.5</v>
      </c>
      <c r="M988" s="14">
        <v>0.5</v>
      </c>
      <c r="Y988" s="14">
        <v>1</v>
      </c>
      <c r="AA988" s="14">
        <v>1</v>
      </c>
      <c r="AF988" s="14" t="s">
        <v>1187</v>
      </c>
      <c r="AG988" s="14" t="s">
        <v>1188</v>
      </c>
    </row>
    <row r="989" spans="1:33" s="14" customFormat="1" x14ac:dyDescent="0.25">
      <c r="A989" s="10" t="s">
        <v>1185</v>
      </c>
      <c r="B989" s="10"/>
      <c r="C989" s="10">
        <v>0</v>
      </c>
      <c r="D989" s="11">
        <v>42247</v>
      </c>
      <c r="E989" s="12">
        <v>43551</v>
      </c>
      <c r="F989" s="26" t="str">
        <f t="shared" si="30"/>
        <v>42 : 24</v>
      </c>
      <c r="G989" s="14">
        <f t="shared" si="31"/>
        <v>1304</v>
      </c>
      <c r="H989" s="9">
        <v>5</v>
      </c>
      <c r="I989" s="9">
        <v>3</v>
      </c>
      <c r="J989" s="9" t="s">
        <v>35</v>
      </c>
      <c r="K989" s="9" t="s">
        <v>35</v>
      </c>
      <c r="L989" s="20">
        <v>0.5</v>
      </c>
      <c r="M989" s="14">
        <v>0.5</v>
      </c>
      <c r="Q989" s="14">
        <v>1</v>
      </c>
      <c r="R989" s="14">
        <v>1</v>
      </c>
      <c r="Y989" s="14">
        <v>1</v>
      </c>
      <c r="AA989" s="14">
        <v>1</v>
      </c>
      <c r="AF989" s="14" t="s">
        <v>1189</v>
      </c>
      <c r="AG989" s="14" t="s">
        <v>168</v>
      </c>
    </row>
    <row r="990" spans="1:33" s="14" customFormat="1" x14ac:dyDescent="0.25">
      <c r="A990" s="10" t="s">
        <v>1185</v>
      </c>
      <c r="B990" s="10"/>
      <c r="C990" s="10">
        <v>0</v>
      </c>
      <c r="D990" s="11">
        <v>42247</v>
      </c>
      <c r="E990" s="12">
        <v>43551</v>
      </c>
      <c r="F990" s="26" t="str">
        <f t="shared" si="30"/>
        <v>42 : 24</v>
      </c>
      <c r="G990" s="14">
        <f t="shared" si="31"/>
        <v>1304</v>
      </c>
      <c r="H990" s="9">
        <v>5</v>
      </c>
      <c r="I990" s="9">
        <v>2</v>
      </c>
      <c r="J990" s="9" t="s">
        <v>32</v>
      </c>
      <c r="K990" s="9" t="s">
        <v>33</v>
      </c>
      <c r="L990" s="20">
        <v>-0.5</v>
      </c>
      <c r="M990" s="14">
        <v>-0.5</v>
      </c>
      <c r="Q990" s="14">
        <v>1</v>
      </c>
      <c r="R990" s="14">
        <v>1</v>
      </c>
      <c r="Y990" s="14">
        <v>1</v>
      </c>
      <c r="Z990" s="14">
        <v>1</v>
      </c>
      <c r="AA990" s="14">
        <v>1</v>
      </c>
      <c r="AF990" s="14" t="s">
        <v>1190</v>
      </c>
      <c r="AG990" s="14" t="s">
        <v>696</v>
      </c>
    </row>
    <row r="991" spans="1:33" s="14" customFormat="1" x14ac:dyDescent="0.25">
      <c r="A991" s="10" t="s">
        <v>1185</v>
      </c>
      <c r="B991" s="10"/>
      <c r="C991" s="10">
        <v>0</v>
      </c>
      <c r="D991" s="11">
        <v>42247</v>
      </c>
      <c r="E991" s="12">
        <v>43551</v>
      </c>
      <c r="F991" s="26" t="str">
        <f t="shared" si="30"/>
        <v>42 : 24</v>
      </c>
      <c r="G991" s="14">
        <f t="shared" si="31"/>
        <v>1304</v>
      </c>
      <c r="H991" s="9">
        <v>5</v>
      </c>
      <c r="I991" s="9">
        <v>1</v>
      </c>
      <c r="J991" s="9" t="s">
        <v>30</v>
      </c>
      <c r="K991" s="9" t="s">
        <v>30</v>
      </c>
      <c r="L991" s="20">
        <v>-0.5</v>
      </c>
      <c r="M991" s="14">
        <v>0.5</v>
      </c>
      <c r="AD991" s="14">
        <v>0</v>
      </c>
      <c r="AE991" s="14">
        <v>1</v>
      </c>
      <c r="AG991" s="14" t="s">
        <v>1191</v>
      </c>
    </row>
    <row r="992" spans="1:33" s="14" customFormat="1" x14ac:dyDescent="0.25">
      <c r="A992" s="10" t="s">
        <v>1185</v>
      </c>
      <c r="B992" s="10"/>
      <c r="C992" s="10">
        <v>0</v>
      </c>
      <c r="D992" s="11">
        <v>42247</v>
      </c>
      <c r="E992" s="12">
        <v>43551</v>
      </c>
      <c r="F992" s="26" t="str">
        <f t="shared" si="30"/>
        <v>42 : 24</v>
      </c>
      <c r="G992" s="14">
        <f t="shared" si="31"/>
        <v>1304</v>
      </c>
      <c r="H992" s="9">
        <v>5</v>
      </c>
      <c r="I992" s="9">
        <v>12</v>
      </c>
      <c r="J992" s="9" t="s">
        <v>30</v>
      </c>
      <c r="K992" s="9" t="s">
        <v>39</v>
      </c>
      <c r="L992" s="20">
        <v>0.5</v>
      </c>
      <c r="M992" s="14">
        <v>-0.5</v>
      </c>
      <c r="AD992" s="14">
        <v>0</v>
      </c>
      <c r="AE992" s="14">
        <v>0</v>
      </c>
      <c r="AG992" s="14" t="s">
        <v>93</v>
      </c>
    </row>
    <row r="993" spans="1:33" s="14" customFormat="1" x14ac:dyDescent="0.25">
      <c r="A993" s="10" t="s">
        <v>1185</v>
      </c>
      <c r="B993" s="10"/>
      <c r="C993" s="10">
        <v>0</v>
      </c>
      <c r="D993" s="11">
        <v>42247</v>
      </c>
      <c r="E993" s="12">
        <v>43551</v>
      </c>
      <c r="F993" s="26" t="str">
        <f t="shared" si="30"/>
        <v>42 : 24</v>
      </c>
      <c r="G993" s="14">
        <f t="shared" si="31"/>
        <v>1304</v>
      </c>
      <c r="H993" s="9">
        <v>5</v>
      </c>
      <c r="I993" s="9">
        <v>11</v>
      </c>
      <c r="J993" s="9" t="s">
        <v>40</v>
      </c>
      <c r="K993" s="9" t="s">
        <v>40</v>
      </c>
      <c r="L993" s="20">
        <v>-0.5</v>
      </c>
      <c r="M993" s="14">
        <v>0.5</v>
      </c>
      <c r="AD993" s="14">
        <v>0</v>
      </c>
      <c r="AE993" s="14">
        <v>1</v>
      </c>
      <c r="AG993" s="14" t="s">
        <v>46</v>
      </c>
    </row>
    <row r="994" spans="1:33" s="14" customFormat="1" x14ac:dyDescent="0.25">
      <c r="A994" s="10" t="s">
        <v>1185</v>
      </c>
      <c r="B994" s="10"/>
      <c r="C994" s="10">
        <v>0</v>
      </c>
      <c r="D994" s="11">
        <v>42247</v>
      </c>
      <c r="E994" s="12">
        <v>43551</v>
      </c>
      <c r="F994" s="26" t="str">
        <f t="shared" si="30"/>
        <v>42 : 24</v>
      </c>
      <c r="G994" s="14">
        <f t="shared" si="31"/>
        <v>1304</v>
      </c>
      <c r="H994" s="9">
        <v>5</v>
      </c>
      <c r="I994" s="9">
        <v>10</v>
      </c>
      <c r="J994" s="9" t="s">
        <v>33</v>
      </c>
      <c r="K994" s="9" t="s">
        <v>33</v>
      </c>
      <c r="L994" s="20">
        <v>0.5</v>
      </c>
      <c r="M994" s="14">
        <v>0.5</v>
      </c>
      <c r="AD994" s="14">
        <v>0</v>
      </c>
      <c r="AE994" s="14">
        <v>0</v>
      </c>
      <c r="AG994" s="14" t="s">
        <v>1192</v>
      </c>
    </row>
    <row r="995" spans="1:33" s="14" customFormat="1" x14ac:dyDescent="0.25">
      <c r="A995" s="10" t="s">
        <v>1185</v>
      </c>
      <c r="B995" s="10"/>
      <c r="C995" s="10">
        <v>0</v>
      </c>
      <c r="D995" s="11">
        <v>42247</v>
      </c>
      <c r="E995" s="12">
        <v>43551</v>
      </c>
      <c r="F995" s="26" t="str">
        <f t="shared" si="30"/>
        <v>42 : 24</v>
      </c>
      <c r="G995" s="14">
        <f t="shared" si="31"/>
        <v>1304</v>
      </c>
      <c r="H995" s="9">
        <v>5</v>
      </c>
      <c r="I995" s="9">
        <v>9</v>
      </c>
      <c r="J995" s="9" t="s">
        <v>40</v>
      </c>
      <c r="K995" s="9" t="s">
        <v>30</v>
      </c>
      <c r="L995" s="20">
        <v>0.5</v>
      </c>
      <c r="M995" s="14">
        <v>-0.5</v>
      </c>
      <c r="R995" s="14">
        <v>1</v>
      </c>
      <c r="Y995" s="14">
        <v>1</v>
      </c>
      <c r="AD995" s="14">
        <v>0</v>
      </c>
      <c r="AE995" s="14">
        <v>0</v>
      </c>
      <c r="AF995" s="14" t="s">
        <v>1193</v>
      </c>
      <c r="AG995" s="14" t="s">
        <v>610</v>
      </c>
    </row>
    <row r="996" spans="1:33" s="14" customFormat="1" x14ac:dyDescent="0.25">
      <c r="A996" s="10" t="s">
        <v>1185</v>
      </c>
      <c r="B996" s="10"/>
      <c r="C996" s="10">
        <v>0</v>
      </c>
      <c r="D996" s="11">
        <v>42247</v>
      </c>
      <c r="E996" s="12">
        <v>43551</v>
      </c>
      <c r="F996" s="26" t="str">
        <f t="shared" si="30"/>
        <v>42 : 24</v>
      </c>
      <c r="G996" s="14">
        <f t="shared" si="31"/>
        <v>1304</v>
      </c>
      <c r="H996" s="9">
        <v>5</v>
      </c>
      <c r="I996" s="9">
        <v>8</v>
      </c>
      <c r="J996" s="9" t="s">
        <v>35</v>
      </c>
      <c r="K996" s="9" t="s">
        <v>32</v>
      </c>
      <c r="L996" s="20">
        <v>-0.5</v>
      </c>
      <c r="M996" s="14">
        <v>-0.5</v>
      </c>
      <c r="AD996" s="14">
        <v>0</v>
      </c>
      <c r="AE996" s="14">
        <v>1</v>
      </c>
      <c r="AG996" s="14" t="s">
        <v>57</v>
      </c>
    </row>
    <row r="997" spans="1:33" s="14" customFormat="1" x14ac:dyDescent="0.25">
      <c r="A997" s="10" t="s">
        <v>1185</v>
      </c>
      <c r="B997" s="10"/>
      <c r="C997" s="10">
        <v>0</v>
      </c>
      <c r="D997" s="11">
        <v>42247</v>
      </c>
      <c r="E997" s="12">
        <v>43551</v>
      </c>
      <c r="F997" s="26" t="str">
        <f t="shared" si="30"/>
        <v>42 : 24</v>
      </c>
      <c r="G997" s="14">
        <f t="shared" si="31"/>
        <v>1304</v>
      </c>
      <c r="H997" s="9">
        <v>5</v>
      </c>
      <c r="I997" s="9">
        <v>7</v>
      </c>
      <c r="J997" s="9" t="s">
        <v>39</v>
      </c>
      <c r="K997" s="9" t="s">
        <v>39</v>
      </c>
      <c r="L997" s="20">
        <v>-0.5</v>
      </c>
      <c r="M997" s="14">
        <v>0.5</v>
      </c>
      <c r="AD997" s="14">
        <v>0</v>
      </c>
      <c r="AE997" s="14">
        <v>1</v>
      </c>
      <c r="AG997" s="14" t="s">
        <v>461</v>
      </c>
    </row>
    <row r="998" spans="1:33" s="14" customFormat="1" x14ac:dyDescent="0.25">
      <c r="A998" s="10" t="s">
        <v>1194</v>
      </c>
      <c r="B998" s="10"/>
      <c r="C998" s="10">
        <v>1</v>
      </c>
      <c r="D998" s="11">
        <v>42260</v>
      </c>
      <c r="E998" s="12">
        <v>43550</v>
      </c>
      <c r="F998" s="26" t="str">
        <f t="shared" si="30"/>
        <v>42 : 13</v>
      </c>
      <c r="G998" s="14">
        <f t="shared" si="31"/>
        <v>1290</v>
      </c>
      <c r="H998" s="22">
        <v>4</v>
      </c>
      <c r="I998" s="9" t="s">
        <v>97</v>
      </c>
      <c r="J998" s="9" t="s">
        <v>30</v>
      </c>
      <c r="K998" s="9" t="s">
        <v>30</v>
      </c>
      <c r="L998" s="20">
        <v>0.5</v>
      </c>
      <c r="M998" s="14">
        <v>0.5</v>
      </c>
      <c r="R998" s="14">
        <v>1</v>
      </c>
      <c r="Y998" s="14">
        <v>1</v>
      </c>
      <c r="AD998" s="14">
        <v>0</v>
      </c>
      <c r="AE998" s="14">
        <v>0</v>
      </c>
      <c r="AF998" s="14" t="s">
        <v>1195</v>
      </c>
      <c r="AG998" s="14" t="s">
        <v>274</v>
      </c>
    </row>
    <row r="999" spans="1:33" s="14" customFormat="1" x14ac:dyDescent="0.25">
      <c r="A999" s="10" t="s">
        <v>1194</v>
      </c>
      <c r="B999" s="10"/>
      <c r="C999" s="10">
        <v>1</v>
      </c>
      <c r="D999" s="11">
        <v>42260</v>
      </c>
      <c r="E999" s="12">
        <v>43550</v>
      </c>
      <c r="F999" s="26" t="str">
        <f t="shared" si="30"/>
        <v>42 : 13</v>
      </c>
      <c r="G999" s="14">
        <f t="shared" si="31"/>
        <v>1290</v>
      </c>
      <c r="H999" s="22">
        <v>4</v>
      </c>
      <c r="I999" s="9" t="s">
        <v>99</v>
      </c>
      <c r="J999" s="9" t="s">
        <v>33</v>
      </c>
      <c r="K999" s="9" t="s">
        <v>32</v>
      </c>
      <c r="L999" s="20">
        <v>0.5</v>
      </c>
      <c r="M999" s="14">
        <v>-0.5</v>
      </c>
      <c r="R999" s="14">
        <v>1</v>
      </c>
      <c r="Y999" s="14">
        <v>1</v>
      </c>
      <c r="AA999" s="14">
        <v>1</v>
      </c>
      <c r="AD999" s="13"/>
      <c r="AE999" s="13"/>
      <c r="AF999" s="14" t="s">
        <v>1196</v>
      </c>
      <c r="AG999" s="14" t="s">
        <v>1197</v>
      </c>
    </row>
    <row r="1000" spans="1:33" s="14" customFormat="1" x14ac:dyDescent="0.25">
      <c r="A1000" s="10" t="s">
        <v>1194</v>
      </c>
      <c r="B1000" s="10"/>
      <c r="C1000" s="10">
        <v>1</v>
      </c>
      <c r="D1000" s="11">
        <v>42260</v>
      </c>
      <c r="E1000" s="12">
        <v>43550</v>
      </c>
      <c r="F1000" s="26" t="str">
        <f t="shared" si="30"/>
        <v>42 : 13</v>
      </c>
      <c r="G1000" s="14">
        <f t="shared" si="31"/>
        <v>1290</v>
      </c>
      <c r="H1000" s="22">
        <v>4</v>
      </c>
      <c r="I1000" s="9" t="s">
        <v>103</v>
      </c>
      <c r="J1000" s="9" t="s">
        <v>35</v>
      </c>
      <c r="K1000" s="9" t="s">
        <v>35</v>
      </c>
      <c r="L1000" s="20">
        <v>-0.5</v>
      </c>
      <c r="M1000" s="14">
        <v>0.5</v>
      </c>
      <c r="R1000" s="14">
        <v>1</v>
      </c>
      <c r="S1000" s="14">
        <v>1</v>
      </c>
      <c r="Y1000" s="14">
        <v>1</v>
      </c>
      <c r="AA1000" s="14">
        <v>1</v>
      </c>
      <c r="AD1000" s="13"/>
      <c r="AE1000" s="13"/>
      <c r="AF1000" s="14" t="s">
        <v>1198</v>
      </c>
      <c r="AG1000" s="14" t="s">
        <v>182</v>
      </c>
    </row>
    <row r="1001" spans="1:33" s="14" customFormat="1" x14ac:dyDescent="0.25">
      <c r="A1001" s="10" t="s">
        <v>1194</v>
      </c>
      <c r="B1001" s="10"/>
      <c r="C1001" s="10">
        <v>1</v>
      </c>
      <c r="D1001" s="11">
        <v>42260</v>
      </c>
      <c r="E1001" s="12">
        <v>43550</v>
      </c>
      <c r="F1001" s="26" t="str">
        <f t="shared" si="30"/>
        <v>42 : 13</v>
      </c>
      <c r="G1001" s="14">
        <f t="shared" si="31"/>
        <v>1290</v>
      </c>
      <c r="H1001" s="22">
        <v>4</v>
      </c>
      <c r="I1001" s="9" t="s">
        <v>104</v>
      </c>
      <c r="J1001" s="9" t="s">
        <v>32</v>
      </c>
      <c r="K1001" s="9" t="s">
        <v>32</v>
      </c>
      <c r="L1001" s="20">
        <v>-0.5</v>
      </c>
      <c r="M1001" s="14">
        <v>0.5</v>
      </c>
      <c r="R1001" s="14">
        <v>1</v>
      </c>
      <c r="Y1001" s="14">
        <v>1</v>
      </c>
      <c r="AA1001" s="14">
        <v>1</v>
      </c>
      <c r="AB1001" s="14">
        <v>1</v>
      </c>
      <c r="AD1001" s="13"/>
      <c r="AE1001" s="13"/>
      <c r="AF1001" s="14" t="s">
        <v>1199</v>
      </c>
      <c r="AG1001" s="14" t="s">
        <v>175</v>
      </c>
    </row>
    <row r="1002" spans="1:33" s="14" customFormat="1" x14ac:dyDescent="0.25">
      <c r="A1002" s="10" t="s">
        <v>1194</v>
      </c>
      <c r="B1002" s="10"/>
      <c r="C1002" s="10">
        <v>1</v>
      </c>
      <c r="D1002" s="11">
        <v>42260</v>
      </c>
      <c r="E1002" s="12">
        <v>43550</v>
      </c>
      <c r="F1002" s="26" t="str">
        <f t="shared" ref="F1002:F1065" si="32">DATEDIF(D1002,E1002,"M")&amp;" : "&amp;DATEDIF(D1002,E1002,"MD")</f>
        <v>42 : 13</v>
      </c>
      <c r="G1002" s="14">
        <f t="shared" ref="G1002:G1065" si="33">DATEDIF(D1002,E1002,"D")</f>
        <v>1290</v>
      </c>
      <c r="H1002" s="22">
        <v>4</v>
      </c>
      <c r="I1002" s="9" t="s">
        <v>107</v>
      </c>
      <c r="J1002" s="9" t="s">
        <v>35</v>
      </c>
      <c r="K1002" s="9" t="s">
        <v>33</v>
      </c>
      <c r="L1002" s="20">
        <v>0.5</v>
      </c>
      <c r="M1002" s="14">
        <v>-0.5</v>
      </c>
      <c r="S1002" s="14">
        <v>0</v>
      </c>
      <c r="AA1002" s="14">
        <v>1</v>
      </c>
      <c r="AD1002" s="13"/>
      <c r="AE1002" s="13"/>
      <c r="AF1002" s="14" t="s">
        <v>1200</v>
      </c>
      <c r="AG1002" s="14" t="s">
        <v>453</v>
      </c>
    </row>
    <row r="1003" spans="1:33" s="14" customFormat="1" x14ac:dyDescent="0.25">
      <c r="A1003" s="10" t="s">
        <v>1194</v>
      </c>
      <c r="B1003" s="10"/>
      <c r="C1003" s="10">
        <v>1</v>
      </c>
      <c r="D1003" s="11">
        <v>42260</v>
      </c>
      <c r="E1003" s="12">
        <v>43550</v>
      </c>
      <c r="F1003" s="26" t="str">
        <f t="shared" si="32"/>
        <v>42 : 13</v>
      </c>
      <c r="G1003" s="14">
        <f t="shared" si="33"/>
        <v>1290</v>
      </c>
      <c r="H1003" s="22">
        <v>4</v>
      </c>
      <c r="I1003" s="9" t="s">
        <v>110</v>
      </c>
      <c r="J1003" s="9" t="s">
        <v>40</v>
      </c>
      <c r="K1003" s="9" t="s">
        <v>39</v>
      </c>
      <c r="L1003" s="20">
        <v>-0.5</v>
      </c>
      <c r="M1003" s="14">
        <v>-0.5</v>
      </c>
      <c r="R1003" s="14">
        <v>1</v>
      </c>
      <c r="Y1003" s="14">
        <v>1</v>
      </c>
      <c r="AA1003" s="14">
        <v>1</v>
      </c>
      <c r="AB1003" s="14">
        <v>1</v>
      </c>
      <c r="AD1003" s="13"/>
      <c r="AE1003" s="13"/>
      <c r="AF1003" s="14" t="s">
        <v>1201</v>
      </c>
      <c r="AG1003" s="14" t="s">
        <v>175</v>
      </c>
    </row>
    <row r="1004" spans="1:33" s="14" customFormat="1" x14ac:dyDescent="0.25">
      <c r="A1004" s="10" t="s">
        <v>1194</v>
      </c>
      <c r="B1004" s="10"/>
      <c r="C1004" s="10">
        <v>1</v>
      </c>
      <c r="D1004" s="11">
        <v>42260</v>
      </c>
      <c r="E1004" s="12">
        <v>43550</v>
      </c>
      <c r="F1004" s="26" t="str">
        <f t="shared" si="32"/>
        <v>42 : 13</v>
      </c>
      <c r="G1004" s="14">
        <f t="shared" si="33"/>
        <v>1290</v>
      </c>
      <c r="H1004" s="22">
        <v>4</v>
      </c>
      <c r="I1004" s="9" t="s">
        <v>113</v>
      </c>
      <c r="J1004" s="9" t="s">
        <v>39</v>
      </c>
      <c r="K1004" s="9" t="s">
        <v>39</v>
      </c>
      <c r="L1004" s="20">
        <v>0.5</v>
      </c>
      <c r="M1004" s="14">
        <v>0.5</v>
      </c>
      <c r="R1004" s="14">
        <v>1</v>
      </c>
      <c r="S1004" s="14">
        <v>0</v>
      </c>
      <c r="Y1004" s="14">
        <v>1</v>
      </c>
      <c r="AA1004" s="14">
        <v>1</v>
      </c>
      <c r="AB1004" s="14">
        <v>1</v>
      </c>
      <c r="AD1004" s="13"/>
      <c r="AE1004" s="13"/>
      <c r="AF1004" s="14" t="s">
        <v>1202</v>
      </c>
      <c r="AG1004" s="14" t="s">
        <v>175</v>
      </c>
    </row>
    <row r="1005" spans="1:33" s="14" customFormat="1" x14ac:dyDescent="0.25">
      <c r="A1005" s="10" t="s">
        <v>1194</v>
      </c>
      <c r="B1005" s="10"/>
      <c r="C1005" s="10">
        <v>1</v>
      </c>
      <c r="D1005" s="11">
        <v>42260</v>
      </c>
      <c r="E1005" s="12">
        <v>43550</v>
      </c>
      <c r="F1005" s="26" t="str">
        <f t="shared" si="32"/>
        <v>42 : 13</v>
      </c>
      <c r="G1005" s="14">
        <f t="shared" si="33"/>
        <v>1290</v>
      </c>
      <c r="H1005" s="22">
        <v>4</v>
      </c>
      <c r="I1005" s="9" t="s">
        <v>115</v>
      </c>
      <c r="J1005" s="9" t="s">
        <v>32</v>
      </c>
      <c r="K1005" s="9" t="s">
        <v>35</v>
      </c>
      <c r="L1005" s="20">
        <v>0.5</v>
      </c>
      <c r="M1005" s="14">
        <v>-0.5</v>
      </c>
      <c r="R1005" s="14">
        <v>1</v>
      </c>
      <c r="Y1005" s="14">
        <v>1</v>
      </c>
      <c r="AA1005" s="14">
        <v>1</v>
      </c>
      <c r="AB1005" s="14">
        <v>1</v>
      </c>
      <c r="AD1005" s="13"/>
      <c r="AE1005" s="13"/>
      <c r="AF1005" s="14" t="s">
        <v>1203</v>
      </c>
      <c r="AG1005" s="14" t="s">
        <v>175</v>
      </c>
    </row>
    <row r="1006" spans="1:33" s="14" customFormat="1" x14ac:dyDescent="0.25">
      <c r="A1006" s="10" t="s">
        <v>1194</v>
      </c>
      <c r="B1006" s="10"/>
      <c r="C1006" s="10">
        <v>1</v>
      </c>
      <c r="D1006" s="11">
        <v>42260</v>
      </c>
      <c r="E1006" s="12">
        <v>43550</v>
      </c>
      <c r="F1006" s="26" t="str">
        <f t="shared" si="32"/>
        <v>42 : 13</v>
      </c>
      <c r="G1006" s="14">
        <f t="shared" si="33"/>
        <v>1290</v>
      </c>
      <c r="H1006" s="22">
        <v>4</v>
      </c>
      <c r="I1006" s="9" t="s">
        <v>117</v>
      </c>
      <c r="J1006" s="9" t="s">
        <v>30</v>
      </c>
      <c r="K1006" s="9" t="s">
        <v>40</v>
      </c>
      <c r="L1006" s="20">
        <v>-0.5</v>
      </c>
      <c r="M1006" s="14">
        <v>-0.5</v>
      </c>
      <c r="AD1006" s="14">
        <v>0</v>
      </c>
      <c r="AE1006" s="14">
        <v>1</v>
      </c>
      <c r="AG1006" s="14" t="s">
        <v>53</v>
      </c>
    </row>
    <row r="1007" spans="1:33" s="14" customFormat="1" x14ac:dyDescent="0.25">
      <c r="A1007" s="10" t="s">
        <v>1194</v>
      </c>
      <c r="B1007" s="10"/>
      <c r="C1007" s="10">
        <v>1</v>
      </c>
      <c r="D1007" s="11">
        <v>42260</v>
      </c>
      <c r="E1007" s="12">
        <v>43550</v>
      </c>
      <c r="F1007" s="26" t="str">
        <f t="shared" si="32"/>
        <v>42 : 13</v>
      </c>
      <c r="G1007" s="14">
        <f t="shared" si="33"/>
        <v>1290</v>
      </c>
      <c r="H1007" s="22">
        <v>4</v>
      </c>
      <c r="I1007" s="9" t="s">
        <v>121</v>
      </c>
      <c r="J1007" s="9" t="s">
        <v>33</v>
      </c>
      <c r="K1007" s="9" t="s">
        <v>33</v>
      </c>
      <c r="L1007" s="20">
        <v>-0.5</v>
      </c>
      <c r="M1007" s="14">
        <v>0.5</v>
      </c>
      <c r="AA1007" s="14">
        <v>1</v>
      </c>
      <c r="AB1007" s="14">
        <v>1</v>
      </c>
      <c r="AD1007" s="13"/>
      <c r="AE1007" s="13"/>
      <c r="AF1007" s="14" t="s">
        <v>1204</v>
      </c>
      <c r="AG1007" s="14" t="s">
        <v>175</v>
      </c>
    </row>
    <row r="1008" spans="1:33" s="14" customFormat="1" x14ac:dyDescent="0.25">
      <c r="A1008" s="10" t="s">
        <v>1194</v>
      </c>
      <c r="B1008" s="10"/>
      <c r="C1008" s="10">
        <v>1</v>
      </c>
      <c r="D1008" s="11">
        <v>42260</v>
      </c>
      <c r="E1008" s="12">
        <v>43550</v>
      </c>
      <c r="F1008" s="26" t="str">
        <f t="shared" si="32"/>
        <v>42 : 13</v>
      </c>
      <c r="G1008" s="14">
        <f t="shared" si="33"/>
        <v>1290</v>
      </c>
      <c r="H1008" s="22">
        <v>4</v>
      </c>
      <c r="I1008" s="9" t="s">
        <v>124</v>
      </c>
      <c r="J1008" s="9" t="s">
        <v>40</v>
      </c>
      <c r="K1008" s="9" t="s">
        <v>40</v>
      </c>
      <c r="L1008" s="20">
        <v>0.5</v>
      </c>
      <c r="M1008" s="14">
        <v>0.5</v>
      </c>
      <c r="R1008" s="14">
        <v>1</v>
      </c>
      <c r="S1008" s="14">
        <v>0</v>
      </c>
      <c r="Y1008" s="14">
        <v>1</v>
      </c>
      <c r="AD1008" s="14">
        <v>0</v>
      </c>
      <c r="AE1008" s="14">
        <v>0</v>
      </c>
      <c r="AF1008" s="14" t="s">
        <v>1205</v>
      </c>
      <c r="AG1008" s="14" t="s">
        <v>84</v>
      </c>
    </row>
    <row r="1009" spans="1:34" s="14" customFormat="1" x14ac:dyDescent="0.25">
      <c r="A1009" s="10" t="s">
        <v>1194</v>
      </c>
      <c r="B1009" s="10"/>
      <c r="C1009" s="10">
        <v>1</v>
      </c>
      <c r="D1009" s="11">
        <v>42260</v>
      </c>
      <c r="E1009" s="12">
        <v>43550</v>
      </c>
      <c r="F1009" s="26" t="str">
        <f t="shared" si="32"/>
        <v>42 : 13</v>
      </c>
      <c r="G1009" s="14">
        <f t="shared" si="33"/>
        <v>1290</v>
      </c>
      <c r="H1009" s="22">
        <v>4</v>
      </c>
      <c r="I1009" s="9" t="s">
        <v>127</v>
      </c>
      <c r="J1009" s="9" t="s">
        <v>39</v>
      </c>
      <c r="K1009" s="9" t="s">
        <v>30</v>
      </c>
      <c r="L1009" s="20">
        <v>-0.5</v>
      </c>
      <c r="M1009" s="14">
        <v>-0.5</v>
      </c>
      <c r="Y1009" s="14">
        <v>1</v>
      </c>
      <c r="AD1009" s="14">
        <v>0</v>
      </c>
      <c r="AE1009" s="14">
        <v>1</v>
      </c>
      <c r="AF1009" s="14" t="s">
        <v>1206</v>
      </c>
      <c r="AG1009" s="14" t="s">
        <v>1207</v>
      </c>
    </row>
    <row r="1010" spans="1:34" s="14" customFormat="1" x14ac:dyDescent="0.25">
      <c r="A1010" s="10" t="s">
        <v>1208</v>
      </c>
      <c r="B1010" s="10"/>
      <c r="C1010" s="10">
        <v>0</v>
      </c>
      <c r="D1010" s="11">
        <v>42268</v>
      </c>
      <c r="E1010" s="12">
        <v>43560</v>
      </c>
      <c r="F1010" s="26" t="str">
        <f t="shared" si="32"/>
        <v>42 : 15</v>
      </c>
      <c r="G1010" s="14">
        <f t="shared" si="33"/>
        <v>1292</v>
      </c>
      <c r="H1010" s="9">
        <v>8</v>
      </c>
      <c r="I1010" s="9" t="s">
        <v>143</v>
      </c>
      <c r="J1010" s="9" t="s">
        <v>40</v>
      </c>
      <c r="K1010" s="9" t="s">
        <v>39</v>
      </c>
      <c r="L1010" s="20">
        <v>-0.5</v>
      </c>
      <c r="M1010" s="14">
        <v>-0.5</v>
      </c>
      <c r="AD1010" s="14">
        <v>0</v>
      </c>
      <c r="AE1010" s="14">
        <v>1</v>
      </c>
      <c r="AG1010" s="14" t="s">
        <v>1209</v>
      </c>
    </row>
    <row r="1011" spans="1:34" s="14" customFormat="1" x14ac:dyDescent="0.25">
      <c r="A1011" s="10" t="s">
        <v>1208</v>
      </c>
      <c r="B1011" s="10"/>
      <c r="C1011" s="10">
        <v>0</v>
      </c>
      <c r="D1011" s="11">
        <v>42268</v>
      </c>
      <c r="E1011" s="12">
        <v>43560</v>
      </c>
      <c r="F1011" s="26" t="str">
        <f t="shared" si="32"/>
        <v>42 : 15</v>
      </c>
      <c r="G1011" s="14">
        <f t="shared" si="33"/>
        <v>1292</v>
      </c>
      <c r="H1011" s="9">
        <v>8</v>
      </c>
      <c r="I1011" s="9" t="s">
        <v>145</v>
      </c>
      <c r="J1011" s="9" t="s">
        <v>35</v>
      </c>
      <c r="K1011" s="9" t="s">
        <v>33</v>
      </c>
      <c r="L1011" s="20">
        <v>0.5</v>
      </c>
      <c r="M1011" s="14">
        <v>-0.5</v>
      </c>
      <c r="V1011" s="14" t="s">
        <v>197</v>
      </c>
      <c r="W1011" s="14">
        <v>1</v>
      </c>
      <c r="AD1011" s="14">
        <v>0</v>
      </c>
      <c r="AE1011" s="14">
        <v>0</v>
      </c>
      <c r="AG1011" s="14" t="s">
        <v>1210</v>
      </c>
    </row>
    <row r="1012" spans="1:34" s="14" customFormat="1" x14ac:dyDescent="0.25">
      <c r="A1012" s="10" t="s">
        <v>1208</v>
      </c>
      <c r="B1012" s="10"/>
      <c r="C1012" s="10">
        <v>0</v>
      </c>
      <c r="D1012" s="11">
        <v>42268</v>
      </c>
      <c r="E1012" s="12">
        <v>43560</v>
      </c>
      <c r="F1012" s="26" t="str">
        <f t="shared" si="32"/>
        <v>42 : 15</v>
      </c>
      <c r="G1012" s="14">
        <f t="shared" si="33"/>
        <v>1292</v>
      </c>
      <c r="H1012" s="9">
        <v>8</v>
      </c>
      <c r="I1012" s="9" t="s">
        <v>146</v>
      </c>
      <c r="J1012" s="9" t="s">
        <v>32</v>
      </c>
      <c r="K1012" s="9" t="s">
        <v>32</v>
      </c>
      <c r="L1012" s="20">
        <v>-0.5</v>
      </c>
      <c r="M1012" s="14">
        <v>0.5</v>
      </c>
      <c r="AD1012" s="14">
        <v>0</v>
      </c>
      <c r="AE1012" s="14">
        <v>1</v>
      </c>
      <c r="AG1012" s="14" t="s">
        <v>1211</v>
      </c>
    </row>
    <row r="1013" spans="1:34" s="14" customFormat="1" x14ac:dyDescent="0.25">
      <c r="A1013" s="10" t="s">
        <v>1208</v>
      </c>
      <c r="B1013" s="10"/>
      <c r="C1013" s="10">
        <v>0</v>
      </c>
      <c r="D1013" s="11">
        <v>42268</v>
      </c>
      <c r="E1013" s="12">
        <v>43560</v>
      </c>
      <c r="F1013" s="26" t="str">
        <f t="shared" si="32"/>
        <v>42 : 15</v>
      </c>
      <c r="G1013" s="14">
        <f t="shared" si="33"/>
        <v>1292</v>
      </c>
      <c r="H1013" s="9">
        <v>8</v>
      </c>
      <c r="I1013" s="9" t="s">
        <v>147</v>
      </c>
      <c r="J1013" s="9" t="s">
        <v>35</v>
      </c>
      <c r="K1013" s="9" t="s">
        <v>35</v>
      </c>
      <c r="L1013" s="20">
        <v>-0.5</v>
      </c>
      <c r="M1013" s="14">
        <v>0.5</v>
      </c>
      <c r="V1013" s="14" t="s">
        <v>441</v>
      </c>
      <c r="W1013" s="14">
        <v>1</v>
      </c>
      <c r="AA1013" s="14">
        <v>1</v>
      </c>
      <c r="AG1013" s="14" t="s">
        <v>1212</v>
      </c>
    </row>
    <row r="1014" spans="1:34" s="14" customFormat="1" x14ac:dyDescent="0.25">
      <c r="A1014" s="10" t="s">
        <v>1208</v>
      </c>
      <c r="B1014" s="10"/>
      <c r="C1014" s="10">
        <v>0</v>
      </c>
      <c r="D1014" s="11">
        <v>42268</v>
      </c>
      <c r="E1014" s="12">
        <v>43560</v>
      </c>
      <c r="F1014" s="26" t="str">
        <f t="shared" si="32"/>
        <v>42 : 15</v>
      </c>
      <c r="G1014" s="14">
        <f t="shared" si="33"/>
        <v>1292</v>
      </c>
      <c r="H1014" s="9">
        <v>8</v>
      </c>
      <c r="I1014" s="9" t="s">
        <v>148</v>
      </c>
      <c r="J1014" s="9" t="s">
        <v>33</v>
      </c>
      <c r="K1014" s="9" t="s">
        <v>32</v>
      </c>
      <c r="L1014" s="20">
        <v>0.5</v>
      </c>
      <c r="M1014" s="14">
        <v>-0.5</v>
      </c>
      <c r="Y1014" s="14">
        <v>1</v>
      </c>
      <c r="AD1014" s="14">
        <v>1</v>
      </c>
      <c r="AE1014" s="14">
        <v>1</v>
      </c>
      <c r="AF1014" s="14" t="s">
        <v>1213</v>
      </c>
      <c r="AG1014" s="14" t="s">
        <v>1214</v>
      </c>
    </row>
    <row r="1015" spans="1:34" s="14" customFormat="1" x14ac:dyDescent="0.25">
      <c r="A1015" s="10" t="s">
        <v>1208</v>
      </c>
      <c r="B1015" s="10"/>
      <c r="C1015" s="10">
        <v>0</v>
      </c>
      <c r="D1015" s="11">
        <v>42268</v>
      </c>
      <c r="E1015" s="12">
        <v>43560</v>
      </c>
      <c r="F1015" s="26" t="str">
        <f t="shared" si="32"/>
        <v>42 : 15</v>
      </c>
      <c r="G1015" s="14">
        <f t="shared" si="33"/>
        <v>1292</v>
      </c>
      <c r="H1015" s="9">
        <v>8</v>
      </c>
      <c r="I1015" s="9" t="s">
        <v>152</v>
      </c>
      <c r="J1015" s="9" t="s">
        <v>30</v>
      </c>
      <c r="K1015" s="9" t="s">
        <v>30</v>
      </c>
      <c r="L1015" s="20">
        <v>0.5</v>
      </c>
      <c r="M1015" s="14">
        <v>0.5</v>
      </c>
      <c r="AD1015" s="14">
        <v>0</v>
      </c>
      <c r="AE1015" s="14">
        <v>0</v>
      </c>
      <c r="AG1015" s="14" t="s">
        <v>1215</v>
      </c>
    </row>
    <row r="1016" spans="1:34" s="14" customFormat="1" x14ac:dyDescent="0.25">
      <c r="A1016" s="10" t="s">
        <v>1208</v>
      </c>
      <c r="B1016" s="10"/>
      <c r="C1016" s="10">
        <v>0</v>
      </c>
      <c r="D1016" s="11">
        <v>42268</v>
      </c>
      <c r="E1016" s="12">
        <v>43560</v>
      </c>
      <c r="F1016" s="26" t="str">
        <f t="shared" si="32"/>
        <v>42 : 15</v>
      </c>
      <c r="G1016" s="14">
        <f t="shared" si="33"/>
        <v>1292</v>
      </c>
      <c r="H1016" s="9">
        <v>8</v>
      </c>
      <c r="I1016" s="9" t="s">
        <v>153</v>
      </c>
      <c r="J1016" s="9" t="s">
        <v>39</v>
      </c>
      <c r="K1016" s="9" t="s">
        <v>39</v>
      </c>
      <c r="L1016" s="20">
        <v>-0.5</v>
      </c>
      <c r="M1016" s="9">
        <v>0.5</v>
      </c>
      <c r="O1016" s="14">
        <v>1</v>
      </c>
      <c r="AD1016" s="14">
        <v>0</v>
      </c>
      <c r="AE1016" s="14">
        <v>1</v>
      </c>
      <c r="AG1016" s="14" t="s">
        <v>1216</v>
      </c>
      <c r="AH1016" s="14" t="s">
        <v>280</v>
      </c>
    </row>
    <row r="1017" spans="1:34" s="14" customFormat="1" x14ac:dyDescent="0.25">
      <c r="A1017" s="10" t="s">
        <v>1208</v>
      </c>
      <c r="B1017" s="10"/>
      <c r="C1017" s="10">
        <v>0</v>
      </c>
      <c r="D1017" s="11">
        <v>42268</v>
      </c>
      <c r="E1017" s="12">
        <v>43560</v>
      </c>
      <c r="F1017" s="26" t="str">
        <f t="shared" si="32"/>
        <v>42 : 15</v>
      </c>
      <c r="G1017" s="14">
        <f t="shared" si="33"/>
        <v>1292</v>
      </c>
      <c r="H1017" s="9">
        <v>8</v>
      </c>
      <c r="I1017" s="9" t="s">
        <v>154</v>
      </c>
      <c r="J1017" s="9" t="s">
        <v>40</v>
      </c>
      <c r="K1017" s="9" t="s">
        <v>40</v>
      </c>
      <c r="L1017" s="20">
        <v>0.5</v>
      </c>
      <c r="M1017" s="14">
        <v>0.5</v>
      </c>
      <c r="AD1017" s="14">
        <v>0</v>
      </c>
      <c r="AE1017" s="14">
        <v>0</v>
      </c>
      <c r="AG1017" s="14" t="s">
        <v>1217</v>
      </c>
      <c r="AH1017" s="14" t="s">
        <v>1218</v>
      </c>
    </row>
    <row r="1018" spans="1:34" s="14" customFormat="1" x14ac:dyDescent="0.25">
      <c r="A1018" s="10" t="s">
        <v>1208</v>
      </c>
      <c r="B1018" s="10"/>
      <c r="C1018" s="10">
        <v>0</v>
      </c>
      <c r="D1018" s="11">
        <v>42268</v>
      </c>
      <c r="E1018" s="12">
        <v>43560</v>
      </c>
      <c r="F1018" s="26" t="str">
        <f t="shared" si="32"/>
        <v>42 : 15</v>
      </c>
      <c r="G1018" s="14">
        <f t="shared" si="33"/>
        <v>1292</v>
      </c>
      <c r="H1018" s="9">
        <v>8</v>
      </c>
      <c r="I1018" s="9" t="s">
        <v>155</v>
      </c>
      <c r="J1018" s="9" t="s">
        <v>33</v>
      </c>
      <c r="K1018" s="9" t="s">
        <v>33</v>
      </c>
      <c r="L1018" s="20">
        <v>-0.5</v>
      </c>
      <c r="M1018" s="14">
        <v>0.5</v>
      </c>
      <c r="AD1018" s="14">
        <v>0</v>
      </c>
      <c r="AE1018" s="14">
        <v>1</v>
      </c>
      <c r="AG1018" s="14" t="s">
        <v>1219</v>
      </c>
    </row>
    <row r="1019" spans="1:34" s="14" customFormat="1" x14ac:dyDescent="0.25">
      <c r="A1019" s="10" t="s">
        <v>1208</v>
      </c>
      <c r="B1019" s="10"/>
      <c r="C1019" s="10">
        <v>0</v>
      </c>
      <c r="D1019" s="11">
        <v>42268</v>
      </c>
      <c r="E1019" s="12">
        <v>43560</v>
      </c>
      <c r="F1019" s="26" t="str">
        <f t="shared" si="32"/>
        <v>42 : 15</v>
      </c>
      <c r="G1019" s="14">
        <f t="shared" si="33"/>
        <v>1292</v>
      </c>
      <c r="H1019" s="9">
        <v>8</v>
      </c>
      <c r="I1019" s="9" t="s">
        <v>156</v>
      </c>
      <c r="J1019" s="9" t="s">
        <v>30</v>
      </c>
      <c r="K1019" s="9" t="s">
        <v>40</v>
      </c>
      <c r="L1019" s="20">
        <v>-0.5</v>
      </c>
      <c r="M1019" s="14">
        <v>-0.5</v>
      </c>
      <c r="AD1019" s="14">
        <v>0</v>
      </c>
      <c r="AE1019" s="14">
        <v>1</v>
      </c>
      <c r="AG1019" s="14" t="s">
        <v>1220</v>
      </c>
    </row>
    <row r="1020" spans="1:34" s="14" customFormat="1" x14ac:dyDescent="0.25">
      <c r="A1020" s="10" t="s">
        <v>1208</v>
      </c>
      <c r="B1020" s="10"/>
      <c r="C1020" s="10">
        <v>0</v>
      </c>
      <c r="D1020" s="11">
        <v>42268</v>
      </c>
      <c r="E1020" s="12">
        <v>43560</v>
      </c>
      <c r="F1020" s="26" t="str">
        <f t="shared" si="32"/>
        <v>42 : 15</v>
      </c>
      <c r="G1020" s="14">
        <f t="shared" si="33"/>
        <v>1292</v>
      </c>
      <c r="H1020" s="9">
        <v>8</v>
      </c>
      <c r="I1020" s="9" t="s">
        <v>157</v>
      </c>
      <c r="J1020" s="9" t="s">
        <v>32</v>
      </c>
      <c r="K1020" s="9" t="s">
        <v>35</v>
      </c>
      <c r="L1020" s="20">
        <v>0.5</v>
      </c>
      <c r="M1020" s="14">
        <v>-0.5</v>
      </c>
      <c r="AD1020" s="14">
        <v>0</v>
      </c>
      <c r="AE1020" s="14">
        <v>0</v>
      </c>
      <c r="AG1020" s="14" t="s">
        <v>1221</v>
      </c>
    </row>
    <row r="1021" spans="1:34" s="14" customFormat="1" x14ac:dyDescent="0.25">
      <c r="A1021" s="10" t="s">
        <v>1208</v>
      </c>
      <c r="B1021" s="10"/>
      <c r="C1021" s="10">
        <v>0</v>
      </c>
      <c r="D1021" s="11">
        <v>42268</v>
      </c>
      <c r="E1021" s="12">
        <v>43560</v>
      </c>
      <c r="F1021" s="26" t="str">
        <f t="shared" si="32"/>
        <v>42 : 15</v>
      </c>
      <c r="G1021" s="14">
        <f t="shared" si="33"/>
        <v>1292</v>
      </c>
      <c r="H1021" s="9">
        <v>8</v>
      </c>
      <c r="I1021" s="9" t="s">
        <v>158</v>
      </c>
      <c r="J1021" s="9" t="s">
        <v>39</v>
      </c>
      <c r="K1021" s="9" t="s">
        <v>35</v>
      </c>
      <c r="L1021" s="20">
        <v>0.5</v>
      </c>
      <c r="M1021" s="14">
        <v>-0.5</v>
      </c>
      <c r="N1021" s="14">
        <v>1</v>
      </c>
      <c r="AF1021" s="14" t="s">
        <v>1222</v>
      </c>
      <c r="AG1021" s="14" t="s">
        <v>1223</v>
      </c>
    </row>
    <row r="1022" spans="1:34" s="14" customFormat="1" x14ac:dyDescent="0.25">
      <c r="A1022" s="10" t="s">
        <v>1224</v>
      </c>
      <c r="B1022" s="10"/>
      <c r="C1022" s="10">
        <v>1</v>
      </c>
      <c r="D1022" s="11">
        <v>42272</v>
      </c>
      <c r="E1022" s="12">
        <v>43570</v>
      </c>
      <c r="F1022" s="26" t="str">
        <f t="shared" si="32"/>
        <v>42 : 21</v>
      </c>
      <c r="G1022" s="14">
        <f t="shared" si="33"/>
        <v>1298</v>
      </c>
      <c r="H1022" s="22">
        <v>4</v>
      </c>
      <c r="I1022" s="9" t="s">
        <v>97</v>
      </c>
      <c r="J1022" s="9" t="s">
        <v>30</v>
      </c>
      <c r="K1022" s="9" t="s">
        <v>30</v>
      </c>
      <c r="L1022" s="20">
        <v>0.5</v>
      </c>
      <c r="M1022" s="14">
        <v>0.5</v>
      </c>
      <c r="AD1022" s="14">
        <v>0</v>
      </c>
      <c r="AE1022" s="14">
        <v>0</v>
      </c>
      <c r="AG1022" s="14" t="s">
        <v>575</v>
      </c>
    </row>
    <row r="1023" spans="1:34" s="14" customFormat="1" x14ac:dyDescent="0.25">
      <c r="A1023" s="10" t="s">
        <v>1224</v>
      </c>
      <c r="B1023" s="10"/>
      <c r="C1023" s="10">
        <v>1</v>
      </c>
      <c r="D1023" s="11">
        <v>42272</v>
      </c>
      <c r="E1023" s="12">
        <v>43570</v>
      </c>
      <c r="F1023" s="26" t="str">
        <f t="shared" si="32"/>
        <v>42 : 21</v>
      </c>
      <c r="G1023" s="14">
        <f t="shared" si="33"/>
        <v>1298</v>
      </c>
      <c r="H1023" s="22">
        <v>4</v>
      </c>
      <c r="I1023" s="9" t="s">
        <v>99</v>
      </c>
      <c r="J1023" s="9" t="s">
        <v>33</v>
      </c>
      <c r="K1023" s="9" t="s">
        <v>32</v>
      </c>
      <c r="L1023" s="20">
        <v>0.5</v>
      </c>
      <c r="M1023" s="14">
        <v>-0.5</v>
      </c>
      <c r="Y1023" s="14">
        <v>1</v>
      </c>
      <c r="AA1023" s="14">
        <v>1</v>
      </c>
      <c r="AF1023" s="14" t="s">
        <v>1225</v>
      </c>
      <c r="AG1023" s="14" t="s">
        <v>1226</v>
      </c>
    </row>
    <row r="1024" spans="1:34" s="14" customFormat="1" x14ac:dyDescent="0.25">
      <c r="A1024" s="10" t="s">
        <v>1224</v>
      </c>
      <c r="B1024" s="10"/>
      <c r="C1024" s="10">
        <v>1</v>
      </c>
      <c r="D1024" s="11">
        <v>42272</v>
      </c>
      <c r="E1024" s="12">
        <v>43570</v>
      </c>
      <c r="F1024" s="26" t="str">
        <f t="shared" si="32"/>
        <v>42 : 21</v>
      </c>
      <c r="G1024" s="14">
        <f t="shared" si="33"/>
        <v>1298</v>
      </c>
      <c r="H1024" s="22">
        <v>4</v>
      </c>
      <c r="I1024" s="9" t="s">
        <v>103</v>
      </c>
      <c r="J1024" s="9" t="s">
        <v>35</v>
      </c>
      <c r="K1024" s="9" t="s">
        <v>35</v>
      </c>
      <c r="L1024" s="20">
        <v>-0.5</v>
      </c>
      <c r="M1024" s="14">
        <v>0.5</v>
      </c>
      <c r="U1024" s="14" t="s">
        <v>441</v>
      </c>
      <c r="Y1024" s="14">
        <v>1</v>
      </c>
      <c r="AA1024" s="14">
        <v>1</v>
      </c>
      <c r="AF1024" s="14" t="s">
        <v>1227</v>
      </c>
      <c r="AG1024" s="14" t="s">
        <v>1227</v>
      </c>
    </row>
    <row r="1025" spans="1:34" s="14" customFormat="1" x14ac:dyDescent="0.25">
      <c r="A1025" s="10" t="s">
        <v>1224</v>
      </c>
      <c r="B1025" s="10"/>
      <c r="C1025" s="10">
        <v>1</v>
      </c>
      <c r="D1025" s="11">
        <v>42272</v>
      </c>
      <c r="E1025" s="12">
        <v>43570</v>
      </c>
      <c r="F1025" s="26" t="str">
        <f t="shared" si="32"/>
        <v>42 : 21</v>
      </c>
      <c r="G1025" s="14">
        <f t="shared" si="33"/>
        <v>1298</v>
      </c>
      <c r="H1025" s="22">
        <v>4</v>
      </c>
      <c r="I1025" s="9" t="s">
        <v>104</v>
      </c>
      <c r="J1025" s="9" t="s">
        <v>32</v>
      </c>
      <c r="K1025" s="9" t="s">
        <v>32</v>
      </c>
      <c r="L1025" s="20">
        <v>-0.5</v>
      </c>
      <c r="M1025" s="14">
        <v>0.5</v>
      </c>
      <c r="T1025" s="14">
        <v>1</v>
      </c>
      <c r="AD1025" s="14">
        <v>0</v>
      </c>
      <c r="AE1025" s="14">
        <v>0</v>
      </c>
      <c r="AG1025" s="14" t="s">
        <v>1228</v>
      </c>
    </row>
    <row r="1026" spans="1:34" s="14" customFormat="1" x14ac:dyDescent="0.25">
      <c r="A1026" s="10" t="s">
        <v>1224</v>
      </c>
      <c r="B1026" s="10"/>
      <c r="C1026" s="10">
        <v>1</v>
      </c>
      <c r="D1026" s="11">
        <v>42272</v>
      </c>
      <c r="E1026" s="12">
        <v>43570</v>
      </c>
      <c r="F1026" s="26" t="str">
        <f t="shared" si="32"/>
        <v>42 : 21</v>
      </c>
      <c r="G1026" s="14">
        <f t="shared" si="33"/>
        <v>1298</v>
      </c>
      <c r="H1026" s="22">
        <v>4</v>
      </c>
      <c r="I1026" s="9" t="s">
        <v>107</v>
      </c>
      <c r="J1026" s="9" t="s">
        <v>35</v>
      </c>
      <c r="K1026" s="9" t="s">
        <v>33</v>
      </c>
      <c r="L1026" s="20">
        <v>0.5</v>
      </c>
      <c r="M1026" s="14">
        <v>-0.5</v>
      </c>
      <c r="T1026" s="14">
        <v>1</v>
      </c>
      <c r="AD1026" s="14">
        <v>1</v>
      </c>
      <c r="AE1026" s="14">
        <v>1</v>
      </c>
      <c r="AG1026" s="14" t="s">
        <v>1229</v>
      </c>
    </row>
    <row r="1027" spans="1:34" s="14" customFormat="1" x14ac:dyDescent="0.25">
      <c r="A1027" s="10" t="s">
        <v>1224</v>
      </c>
      <c r="B1027" s="10"/>
      <c r="C1027" s="10">
        <v>1</v>
      </c>
      <c r="D1027" s="11">
        <v>42272</v>
      </c>
      <c r="E1027" s="12">
        <v>43570</v>
      </c>
      <c r="F1027" s="26" t="str">
        <f t="shared" si="32"/>
        <v>42 : 21</v>
      </c>
      <c r="G1027" s="14">
        <f t="shared" si="33"/>
        <v>1298</v>
      </c>
      <c r="H1027" s="22">
        <v>4</v>
      </c>
      <c r="I1027" s="9" t="s">
        <v>110</v>
      </c>
      <c r="J1027" s="9" t="s">
        <v>40</v>
      </c>
      <c r="K1027" s="9" t="s">
        <v>39</v>
      </c>
      <c r="L1027" s="20">
        <v>-0.5</v>
      </c>
      <c r="M1027" s="14">
        <v>-0.5</v>
      </c>
      <c r="AD1027" s="14">
        <v>1</v>
      </c>
      <c r="AE1027" s="14">
        <v>0</v>
      </c>
      <c r="AG1027" s="14" t="s">
        <v>1230</v>
      </c>
    </row>
    <row r="1028" spans="1:34" s="14" customFormat="1" x14ac:dyDescent="0.25">
      <c r="A1028" s="10" t="s">
        <v>1224</v>
      </c>
      <c r="B1028" s="10"/>
      <c r="C1028" s="10">
        <v>1</v>
      </c>
      <c r="D1028" s="11">
        <v>42272</v>
      </c>
      <c r="E1028" s="12">
        <v>43570</v>
      </c>
      <c r="F1028" s="26" t="str">
        <f t="shared" si="32"/>
        <v>42 : 21</v>
      </c>
      <c r="G1028" s="14">
        <f t="shared" si="33"/>
        <v>1298</v>
      </c>
      <c r="H1028" s="22">
        <v>4</v>
      </c>
      <c r="I1028" s="9" t="s">
        <v>113</v>
      </c>
      <c r="J1028" s="9" t="s">
        <v>39</v>
      </c>
      <c r="K1028" s="9" t="s">
        <v>39</v>
      </c>
      <c r="L1028" s="20">
        <v>0.5</v>
      </c>
      <c r="M1028" s="14">
        <v>0.5</v>
      </c>
      <c r="U1028" s="14">
        <v>1</v>
      </c>
      <c r="AD1028" s="14">
        <v>1</v>
      </c>
      <c r="AE1028" s="14">
        <v>1</v>
      </c>
      <c r="AF1028" s="14" t="s">
        <v>1231</v>
      </c>
      <c r="AG1028" s="14" t="s">
        <v>1232</v>
      </c>
      <c r="AH1028" s="14" t="s">
        <v>1233</v>
      </c>
    </row>
    <row r="1029" spans="1:34" s="14" customFormat="1" x14ac:dyDescent="0.25">
      <c r="A1029" s="10" t="s">
        <v>1224</v>
      </c>
      <c r="B1029" s="10"/>
      <c r="C1029" s="10">
        <v>1</v>
      </c>
      <c r="D1029" s="11">
        <v>42272</v>
      </c>
      <c r="E1029" s="12">
        <v>43570</v>
      </c>
      <c r="F1029" s="26" t="str">
        <f t="shared" si="32"/>
        <v>42 : 21</v>
      </c>
      <c r="G1029" s="14">
        <f t="shared" si="33"/>
        <v>1298</v>
      </c>
      <c r="H1029" s="22">
        <v>4</v>
      </c>
      <c r="I1029" s="9" t="s">
        <v>115</v>
      </c>
      <c r="J1029" s="9" t="s">
        <v>32</v>
      </c>
      <c r="K1029" s="9" t="s">
        <v>35</v>
      </c>
      <c r="L1029" s="20">
        <v>0.5</v>
      </c>
      <c r="M1029" s="14">
        <v>-0.5</v>
      </c>
      <c r="AD1029" s="14">
        <v>0</v>
      </c>
      <c r="AE1029" s="14">
        <v>0</v>
      </c>
      <c r="AG1029" s="14" t="s">
        <v>1018</v>
      </c>
    </row>
    <row r="1030" spans="1:34" s="14" customFormat="1" x14ac:dyDescent="0.25">
      <c r="A1030" s="10" t="s">
        <v>1224</v>
      </c>
      <c r="B1030" s="10"/>
      <c r="C1030" s="10">
        <v>1</v>
      </c>
      <c r="D1030" s="11">
        <v>42272</v>
      </c>
      <c r="E1030" s="12">
        <v>43570</v>
      </c>
      <c r="F1030" s="26" t="str">
        <f t="shared" si="32"/>
        <v>42 : 21</v>
      </c>
      <c r="G1030" s="14">
        <f t="shared" si="33"/>
        <v>1298</v>
      </c>
      <c r="H1030" s="22">
        <v>4</v>
      </c>
      <c r="I1030" s="9" t="s">
        <v>117</v>
      </c>
      <c r="J1030" s="9" t="s">
        <v>30</v>
      </c>
      <c r="K1030" s="9" t="s">
        <v>40</v>
      </c>
      <c r="L1030" s="20">
        <v>-0.5</v>
      </c>
      <c r="M1030" s="14">
        <v>-0.5</v>
      </c>
      <c r="AD1030" s="14">
        <v>0</v>
      </c>
      <c r="AE1030" s="14">
        <v>0</v>
      </c>
      <c r="AG1030" s="14" t="s">
        <v>53</v>
      </c>
    </row>
    <row r="1031" spans="1:34" s="14" customFormat="1" x14ac:dyDescent="0.25">
      <c r="A1031" s="10" t="s">
        <v>1224</v>
      </c>
      <c r="B1031" s="10"/>
      <c r="C1031" s="10">
        <v>1</v>
      </c>
      <c r="D1031" s="11">
        <v>42272</v>
      </c>
      <c r="E1031" s="12">
        <v>43570</v>
      </c>
      <c r="F1031" s="26" t="str">
        <f t="shared" si="32"/>
        <v>42 : 21</v>
      </c>
      <c r="G1031" s="14">
        <f t="shared" si="33"/>
        <v>1298</v>
      </c>
      <c r="H1031" s="22">
        <v>4</v>
      </c>
      <c r="I1031" s="9" t="s">
        <v>121</v>
      </c>
      <c r="J1031" s="9" t="s">
        <v>33</v>
      </c>
      <c r="K1031" s="9" t="s">
        <v>39</v>
      </c>
      <c r="L1031" s="20">
        <v>-0.5</v>
      </c>
      <c r="M1031" s="14">
        <v>-0.5</v>
      </c>
      <c r="N1031" s="14">
        <v>1</v>
      </c>
      <c r="Q1031" s="14">
        <v>1</v>
      </c>
      <c r="U1031" s="14">
        <v>1</v>
      </c>
      <c r="Y1031" s="14">
        <v>1</v>
      </c>
      <c r="AF1031" s="14" t="s">
        <v>1234</v>
      </c>
      <c r="AG1031" s="14" t="s">
        <v>1235</v>
      </c>
    </row>
    <row r="1032" spans="1:34" s="14" customFormat="1" x14ac:dyDescent="0.25">
      <c r="A1032" s="10" t="s">
        <v>1224</v>
      </c>
      <c r="B1032" s="10"/>
      <c r="C1032" s="10">
        <v>1</v>
      </c>
      <c r="D1032" s="11">
        <v>42272</v>
      </c>
      <c r="E1032" s="12">
        <v>43570</v>
      </c>
      <c r="F1032" s="26" t="str">
        <f t="shared" si="32"/>
        <v>42 : 21</v>
      </c>
      <c r="G1032" s="14">
        <f t="shared" si="33"/>
        <v>1298</v>
      </c>
      <c r="H1032" s="22">
        <v>4</v>
      </c>
      <c r="I1032" s="9" t="s">
        <v>124</v>
      </c>
      <c r="J1032" s="9" t="s">
        <v>40</v>
      </c>
      <c r="K1032" s="9" t="s">
        <v>40</v>
      </c>
      <c r="L1032" s="20">
        <v>0.5</v>
      </c>
      <c r="M1032" s="14">
        <v>0.5</v>
      </c>
      <c r="V1032" s="14" t="s">
        <v>261</v>
      </c>
      <c r="W1032" s="14">
        <v>1</v>
      </c>
      <c r="Y1032" s="14">
        <v>1</v>
      </c>
      <c r="AA1032" s="14">
        <v>1</v>
      </c>
      <c r="AF1032" s="14" t="s">
        <v>1236</v>
      </c>
      <c r="AG1032" s="14" t="s">
        <v>1237</v>
      </c>
    </row>
    <row r="1033" spans="1:34" s="14" customFormat="1" x14ac:dyDescent="0.25">
      <c r="A1033" s="10" t="s">
        <v>1224</v>
      </c>
      <c r="B1033" s="10"/>
      <c r="C1033" s="10">
        <v>1</v>
      </c>
      <c r="D1033" s="11">
        <v>42272</v>
      </c>
      <c r="E1033" s="12">
        <v>43570</v>
      </c>
      <c r="F1033" s="26" t="str">
        <f t="shared" si="32"/>
        <v>42 : 21</v>
      </c>
      <c r="G1033" s="14">
        <f t="shared" si="33"/>
        <v>1298</v>
      </c>
      <c r="H1033" s="22">
        <v>4</v>
      </c>
      <c r="I1033" s="9" t="s">
        <v>127</v>
      </c>
      <c r="J1033" s="9" t="s">
        <v>39</v>
      </c>
      <c r="K1033" s="9" t="s">
        <v>30</v>
      </c>
      <c r="L1033" s="20">
        <v>-0.5</v>
      </c>
      <c r="M1033" s="14">
        <v>-0.5</v>
      </c>
      <c r="AD1033" s="14">
        <v>0</v>
      </c>
      <c r="AE1033" s="14">
        <v>0</v>
      </c>
      <c r="AG1033" s="14" t="s">
        <v>573</v>
      </c>
      <c r="AH1033" s="14" t="s">
        <v>280</v>
      </c>
    </row>
    <row r="1034" spans="1:34" s="14" customFormat="1" x14ac:dyDescent="0.25">
      <c r="A1034" s="10" t="s">
        <v>1238</v>
      </c>
      <c r="B1034" s="10"/>
      <c r="C1034" s="10">
        <v>1</v>
      </c>
      <c r="D1034" s="11">
        <v>42269</v>
      </c>
      <c r="E1034" s="12">
        <v>43561</v>
      </c>
      <c r="F1034" s="26" t="str">
        <f t="shared" si="32"/>
        <v>42 : 15</v>
      </c>
      <c r="G1034" s="14">
        <f t="shared" si="33"/>
        <v>1292</v>
      </c>
      <c r="H1034" s="9">
        <v>1</v>
      </c>
      <c r="I1034" s="9">
        <v>1</v>
      </c>
      <c r="J1034" s="9" t="s">
        <v>30</v>
      </c>
      <c r="K1034" s="9" t="s">
        <v>30</v>
      </c>
      <c r="L1034" s="15">
        <v>-0.5</v>
      </c>
      <c r="M1034" s="14">
        <v>0.5</v>
      </c>
      <c r="AD1034" s="14">
        <v>0</v>
      </c>
      <c r="AE1034" s="14">
        <v>1</v>
      </c>
      <c r="AG1034" s="14" t="s">
        <v>53</v>
      </c>
    </row>
    <row r="1035" spans="1:34" s="14" customFormat="1" x14ac:dyDescent="0.25">
      <c r="A1035" s="10" t="s">
        <v>1238</v>
      </c>
      <c r="B1035" s="10"/>
      <c r="C1035" s="10">
        <v>1</v>
      </c>
      <c r="D1035" s="11">
        <v>42269</v>
      </c>
      <c r="E1035" s="12">
        <v>43561</v>
      </c>
      <c r="F1035" s="26" t="str">
        <f t="shared" si="32"/>
        <v>42 : 15</v>
      </c>
      <c r="G1035" s="14">
        <f t="shared" si="33"/>
        <v>1292</v>
      </c>
      <c r="H1035" s="9">
        <v>1</v>
      </c>
      <c r="I1035" s="9">
        <v>2</v>
      </c>
      <c r="J1035" s="9" t="s">
        <v>32</v>
      </c>
      <c r="K1035" s="9" t="s">
        <v>33</v>
      </c>
      <c r="L1035" s="15">
        <v>-0.5</v>
      </c>
      <c r="M1035" s="14">
        <v>-0.5</v>
      </c>
      <c r="Y1035" s="14">
        <v>1</v>
      </c>
      <c r="AD1035" s="14">
        <v>0</v>
      </c>
      <c r="AE1035" s="14">
        <v>1</v>
      </c>
      <c r="AG1035" s="14" t="s">
        <v>1239</v>
      </c>
    </row>
    <row r="1036" spans="1:34" s="14" customFormat="1" x14ac:dyDescent="0.25">
      <c r="A1036" s="10" t="s">
        <v>1238</v>
      </c>
      <c r="B1036" s="10"/>
      <c r="C1036" s="10">
        <v>1</v>
      </c>
      <c r="D1036" s="11">
        <v>42269</v>
      </c>
      <c r="E1036" s="12">
        <v>43561</v>
      </c>
      <c r="F1036" s="26" t="str">
        <f t="shared" si="32"/>
        <v>42 : 15</v>
      </c>
      <c r="G1036" s="14">
        <f t="shared" si="33"/>
        <v>1292</v>
      </c>
      <c r="H1036" s="9">
        <v>1</v>
      </c>
      <c r="I1036" s="9">
        <v>3</v>
      </c>
      <c r="J1036" s="9" t="s">
        <v>35</v>
      </c>
      <c r="K1036" s="9" t="s">
        <v>35</v>
      </c>
      <c r="L1036" s="15">
        <v>0.5</v>
      </c>
      <c r="M1036" s="14">
        <v>0.5</v>
      </c>
      <c r="AD1036" s="14">
        <v>0</v>
      </c>
      <c r="AE1036" s="14">
        <v>0</v>
      </c>
      <c r="AG1036" s="14" t="s">
        <v>45</v>
      </c>
    </row>
    <row r="1037" spans="1:34" s="14" customFormat="1" x14ac:dyDescent="0.25">
      <c r="A1037" s="10" t="s">
        <v>1238</v>
      </c>
      <c r="B1037" s="10"/>
      <c r="C1037" s="10">
        <v>1</v>
      </c>
      <c r="D1037" s="11">
        <v>42269</v>
      </c>
      <c r="E1037" s="12">
        <v>43561</v>
      </c>
      <c r="F1037" s="26" t="str">
        <f t="shared" si="32"/>
        <v>42 : 15</v>
      </c>
      <c r="G1037" s="14">
        <f t="shared" si="33"/>
        <v>1292</v>
      </c>
      <c r="H1037" s="9">
        <v>1</v>
      </c>
      <c r="I1037" s="9">
        <v>4</v>
      </c>
      <c r="J1037" s="9" t="s">
        <v>32</v>
      </c>
      <c r="K1037" s="9" t="s">
        <v>32</v>
      </c>
      <c r="L1037" s="15">
        <v>0.5</v>
      </c>
      <c r="M1037" s="14">
        <v>0.5</v>
      </c>
      <c r="AD1037" s="14">
        <v>0</v>
      </c>
      <c r="AE1037" s="14">
        <v>0</v>
      </c>
      <c r="AG1037" s="14" t="s">
        <v>190</v>
      </c>
    </row>
    <row r="1038" spans="1:34" s="14" customFormat="1" x14ac:dyDescent="0.25">
      <c r="A1038" s="10" t="s">
        <v>1238</v>
      </c>
      <c r="B1038" s="10"/>
      <c r="C1038" s="10">
        <v>1</v>
      </c>
      <c r="D1038" s="11">
        <v>42269</v>
      </c>
      <c r="E1038" s="12">
        <v>43561</v>
      </c>
      <c r="F1038" s="26" t="str">
        <f t="shared" si="32"/>
        <v>42 : 15</v>
      </c>
      <c r="G1038" s="14">
        <f t="shared" si="33"/>
        <v>1292</v>
      </c>
      <c r="H1038" s="9">
        <v>1</v>
      </c>
      <c r="I1038" s="9">
        <v>5</v>
      </c>
      <c r="J1038" s="9" t="s">
        <v>33</v>
      </c>
      <c r="K1038" s="9" t="s">
        <v>35</v>
      </c>
      <c r="L1038" s="15">
        <v>-0.5</v>
      </c>
      <c r="M1038" s="14">
        <v>-0.5</v>
      </c>
      <c r="Y1038" s="14">
        <v>1</v>
      </c>
      <c r="AD1038" s="14">
        <v>0</v>
      </c>
      <c r="AE1038" s="14">
        <v>1</v>
      </c>
      <c r="AF1038" s="14" t="s">
        <v>1240</v>
      </c>
      <c r="AG1038" s="14" t="s">
        <v>358</v>
      </c>
    </row>
    <row r="1039" spans="1:34" s="14" customFormat="1" x14ac:dyDescent="0.25">
      <c r="A1039" s="10" t="s">
        <v>1238</v>
      </c>
      <c r="B1039" s="10"/>
      <c r="C1039" s="10">
        <v>1</v>
      </c>
      <c r="D1039" s="11">
        <v>42269</v>
      </c>
      <c r="E1039" s="12">
        <v>43561</v>
      </c>
      <c r="F1039" s="26" t="str">
        <f t="shared" si="32"/>
        <v>42 : 15</v>
      </c>
      <c r="G1039" s="14">
        <f t="shared" si="33"/>
        <v>1292</v>
      </c>
      <c r="H1039" s="9">
        <v>1</v>
      </c>
      <c r="I1039" s="9">
        <v>6</v>
      </c>
      <c r="J1039" s="9" t="s">
        <v>39</v>
      </c>
      <c r="K1039" s="9" t="s">
        <v>40</v>
      </c>
      <c r="L1039" s="15">
        <v>0.5</v>
      </c>
      <c r="M1039" s="14">
        <v>-0.5</v>
      </c>
      <c r="AD1039" s="14">
        <v>0</v>
      </c>
      <c r="AE1039" s="14">
        <v>0</v>
      </c>
      <c r="AG1039" s="14" t="s">
        <v>41</v>
      </c>
    </row>
    <row r="1040" spans="1:34" s="14" customFormat="1" x14ac:dyDescent="0.25">
      <c r="A1040" s="10" t="s">
        <v>1238</v>
      </c>
      <c r="B1040" s="10"/>
      <c r="C1040" s="10">
        <v>1</v>
      </c>
      <c r="D1040" s="11">
        <v>42269</v>
      </c>
      <c r="E1040" s="12">
        <v>43561</v>
      </c>
      <c r="F1040" s="26" t="str">
        <f t="shared" si="32"/>
        <v>42 : 15</v>
      </c>
      <c r="G1040" s="14">
        <f t="shared" si="33"/>
        <v>1292</v>
      </c>
      <c r="H1040" s="9">
        <v>1</v>
      </c>
      <c r="I1040" s="9">
        <v>7</v>
      </c>
      <c r="J1040" s="9" t="s">
        <v>39</v>
      </c>
      <c r="K1040" s="9" t="s">
        <v>39</v>
      </c>
      <c r="L1040" s="15">
        <v>-0.5</v>
      </c>
      <c r="M1040" s="14">
        <v>0.5</v>
      </c>
      <c r="AD1040" s="14">
        <v>0</v>
      </c>
      <c r="AE1040" s="14">
        <v>1</v>
      </c>
      <c r="AG1040" s="14" t="s">
        <v>409</v>
      </c>
      <c r="AH1040" s="14" t="s">
        <v>280</v>
      </c>
    </row>
    <row r="1041" spans="1:34" s="14" customFormat="1" x14ac:dyDescent="0.25">
      <c r="A1041" s="10" t="s">
        <v>1238</v>
      </c>
      <c r="B1041" s="10"/>
      <c r="C1041" s="10">
        <v>1</v>
      </c>
      <c r="D1041" s="11">
        <v>42269</v>
      </c>
      <c r="E1041" s="12">
        <v>43561</v>
      </c>
      <c r="F1041" s="26" t="str">
        <f t="shared" si="32"/>
        <v>42 : 15</v>
      </c>
      <c r="G1041" s="14">
        <f t="shared" si="33"/>
        <v>1292</v>
      </c>
      <c r="H1041" s="9">
        <v>1</v>
      </c>
      <c r="I1041" s="9">
        <v>8</v>
      </c>
      <c r="J1041" s="9" t="s">
        <v>35</v>
      </c>
      <c r="K1041" s="9" t="s">
        <v>32</v>
      </c>
      <c r="L1041" s="15">
        <v>-0.5</v>
      </c>
      <c r="M1041" s="14">
        <v>-0.5</v>
      </c>
      <c r="S1041" s="14">
        <v>0</v>
      </c>
      <c r="AD1041" s="14">
        <v>0</v>
      </c>
      <c r="AE1041" s="14">
        <v>1</v>
      </c>
      <c r="AF1041" s="14" t="s">
        <v>1241</v>
      </c>
      <c r="AG1041" s="14" t="s">
        <v>190</v>
      </c>
    </row>
    <row r="1042" spans="1:34" s="14" customFormat="1" x14ac:dyDescent="0.25">
      <c r="A1042" s="10" t="s">
        <v>1238</v>
      </c>
      <c r="B1042" s="10"/>
      <c r="C1042" s="10">
        <v>1</v>
      </c>
      <c r="D1042" s="11">
        <v>42269</v>
      </c>
      <c r="E1042" s="12">
        <v>43561</v>
      </c>
      <c r="F1042" s="26" t="str">
        <f t="shared" si="32"/>
        <v>42 : 15</v>
      </c>
      <c r="G1042" s="14">
        <f t="shared" si="33"/>
        <v>1292</v>
      </c>
      <c r="H1042" s="9">
        <v>1</v>
      </c>
      <c r="I1042" s="9">
        <v>9</v>
      </c>
      <c r="J1042" s="9" t="s">
        <v>40</v>
      </c>
      <c r="K1042" s="9" t="s">
        <v>30</v>
      </c>
      <c r="L1042" s="15">
        <v>0.5</v>
      </c>
      <c r="M1042" s="14">
        <v>-0.5</v>
      </c>
      <c r="AD1042" s="14">
        <v>0</v>
      </c>
      <c r="AE1042" s="14">
        <v>0</v>
      </c>
      <c r="AG1042" s="14" t="s">
        <v>875</v>
      </c>
    </row>
    <row r="1043" spans="1:34" s="14" customFormat="1" x14ac:dyDescent="0.25">
      <c r="A1043" s="10" t="s">
        <v>1238</v>
      </c>
      <c r="B1043" s="10"/>
      <c r="C1043" s="10">
        <v>1</v>
      </c>
      <c r="D1043" s="11">
        <v>42269</v>
      </c>
      <c r="E1043" s="12">
        <v>43561</v>
      </c>
      <c r="F1043" s="26" t="str">
        <f t="shared" si="32"/>
        <v>42 : 15</v>
      </c>
      <c r="G1043" s="14">
        <f t="shared" si="33"/>
        <v>1292</v>
      </c>
      <c r="H1043" s="9">
        <v>1</v>
      </c>
      <c r="I1043" s="9">
        <v>10</v>
      </c>
      <c r="J1043" s="9" t="s">
        <v>33</v>
      </c>
      <c r="K1043" s="9" t="s">
        <v>33</v>
      </c>
      <c r="L1043" s="15">
        <v>0.5</v>
      </c>
      <c r="M1043" s="14">
        <v>0.5</v>
      </c>
      <c r="V1043" s="14" t="s">
        <v>197</v>
      </c>
      <c r="W1043" s="14">
        <v>1</v>
      </c>
      <c r="AD1043" s="14">
        <v>0</v>
      </c>
      <c r="AE1043" s="14">
        <v>0</v>
      </c>
      <c r="AG1043" s="14" t="s">
        <v>198</v>
      </c>
    </row>
    <row r="1044" spans="1:34" s="14" customFormat="1" x14ac:dyDescent="0.25">
      <c r="A1044" s="10" t="s">
        <v>1238</v>
      </c>
      <c r="B1044" s="10"/>
      <c r="C1044" s="10">
        <v>1</v>
      </c>
      <c r="D1044" s="11">
        <v>42269</v>
      </c>
      <c r="E1044" s="12">
        <v>43561</v>
      </c>
      <c r="F1044" s="26" t="str">
        <f t="shared" si="32"/>
        <v>42 : 15</v>
      </c>
      <c r="G1044" s="14">
        <f t="shared" si="33"/>
        <v>1292</v>
      </c>
      <c r="H1044" s="9">
        <v>1</v>
      </c>
      <c r="I1044" s="9">
        <v>11</v>
      </c>
      <c r="J1044" s="9" t="s">
        <v>40</v>
      </c>
      <c r="K1044" s="9" t="s">
        <v>40</v>
      </c>
      <c r="L1044" s="15">
        <v>-0.5</v>
      </c>
      <c r="M1044" s="14">
        <v>0.5</v>
      </c>
      <c r="AD1044" s="14">
        <v>0</v>
      </c>
      <c r="AE1044" s="14">
        <v>1</v>
      </c>
      <c r="AG1044" s="14" t="s">
        <v>1242</v>
      </c>
    </row>
    <row r="1045" spans="1:34" s="14" customFormat="1" x14ac:dyDescent="0.25">
      <c r="A1045" s="10" t="s">
        <v>1238</v>
      </c>
      <c r="B1045" s="10"/>
      <c r="C1045" s="10">
        <v>1</v>
      </c>
      <c r="D1045" s="11">
        <v>42269</v>
      </c>
      <c r="E1045" s="12">
        <v>43561</v>
      </c>
      <c r="F1045" s="26" t="str">
        <f t="shared" si="32"/>
        <v>42 : 15</v>
      </c>
      <c r="G1045" s="14">
        <f t="shared" si="33"/>
        <v>1292</v>
      </c>
      <c r="H1045" s="9">
        <v>1</v>
      </c>
      <c r="I1045" s="9">
        <v>12</v>
      </c>
      <c r="J1045" s="9" t="s">
        <v>30</v>
      </c>
      <c r="K1045" s="9" t="s">
        <v>39</v>
      </c>
      <c r="L1045" s="15">
        <v>0.5</v>
      </c>
      <c r="M1045" s="14">
        <v>-0.5</v>
      </c>
      <c r="AD1045" s="14">
        <v>0</v>
      </c>
      <c r="AE1045" s="14">
        <v>0</v>
      </c>
      <c r="AG1045" s="14" t="s">
        <v>93</v>
      </c>
    </row>
    <row r="1046" spans="1:34" s="14" customFormat="1" x14ac:dyDescent="0.25">
      <c r="A1046" s="10" t="s">
        <v>1243</v>
      </c>
      <c r="B1046" s="10"/>
      <c r="C1046" s="10">
        <v>1</v>
      </c>
      <c r="D1046" s="11">
        <v>42279</v>
      </c>
      <c r="E1046" s="12">
        <v>43585</v>
      </c>
      <c r="F1046" s="26" t="str">
        <f t="shared" si="32"/>
        <v>42 : 28</v>
      </c>
      <c r="G1046" s="14">
        <f t="shared" si="33"/>
        <v>1306</v>
      </c>
      <c r="H1046" s="9">
        <v>6</v>
      </c>
      <c r="I1046" s="9" t="s">
        <v>143</v>
      </c>
      <c r="J1046" s="9" t="s">
        <v>40</v>
      </c>
      <c r="K1046" s="9" t="s">
        <v>39</v>
      </c>
      <c r="L1046" s="20">
        <v>0.5</v>
      </c>
      <c r="M1046" s="14">
        <v>-0.5</v>
      </c>
      <c r="AD1046" s="14">
        <v>1</v>
      </c>
      <c r="AE1046" s="14">
        <v>1</v>
      </c>
      <c r="AG1046" s="14" t="s">
        <v>1244</v>
      </c>
    </row>
    <row r="1047" spans="1:34" s="14" customFormat="1" x14ac:dyDescent="0.25">
      <c r="A1047" s="10" t="s">
        <v>1243</v>
      </c>
      <c r="B1047" s="10"/>
      <c r="C1047" s="10">
        <v>1</v>
      </c>
      <c r="D1047" s="11">
        <v>42279</v>
      </c>
      <c r="E1047" s="12">
        <v>43585</v>
      </c>
      <c r="F1047" s="26" t="str">
        <f t="shared" si="32"/>
        <v>42 : 28</v>
      </c>
      <c r="G1047" s="14">
        <f t="shared" si="33"/>
        <v>1306</v>
      </c>
      <c r="H1047" s="9">
        <v>6</v>
      </c>
      <c r="I1047" s="9" t="s">
        <v>145</v>
      </c>
      <c r="J1047" s="9" t="s">
        <v>35</v>
      </c>
      <c r="K1047" s="9" t="s">
        <v>33</v>
      </c>
      <c r="L1047" s="20">
        <v>-0.5</v>
      </c>
      <c r="M1047" s="14">
        <v>-0.5</v>
      </c>
      <c r="S1047" s="14">
        <v>0</v>
      </c>
      <c r="U1047" s="14">
        <v>1</v>
      </c>
      <c r="AD1047" s="14">
        <v>0</v>
      </c>
      <c r="AE1047" s="14">
        <v>1</v>
      </c>
      <c r="AF1047" s="14" t="s">
        <v>1245</v>
      </c>
      <c r="AG1047" s="14" t="s">
        <v>1246</v>
      </c>
      <c r="AH1047" s="14" t="s">
        <v>539</v>
      </c>
    </row>
    <row r="1048" spans="1:34" s="14" customFormat="1" x14ac:dyDescent="0.25">
      <c r="A1048" s="10" t="s">
        <v>1243</v>
      </c>
      <c r="B1048" s="10"/>
      <c r="C1048" s="10">
        <v>1</v>
      </c>
      <c r="D1048" s="11">
        <v>42279</v>
      </c>
      <c r="E1048" s="12">
        <v>43585</v>
      </c>
      <c r="F1048" s="26" t="str">
        <f t="shared" si="32"/>
        <v>42 : 28</v>
      </c>
      <c r="G1048" s="14">
        <f t="shared" si="33"/>
        <v>1306</v>
      </c>
      <c r="H1048" s="9">
        <v>6</v>
      </c>
      <c r="I1048" s="9" t="s">
        <v>146</v>
      </c>
      <c r="J1048" s="9" t="s">
        <v>32</v>
      </c>
      <c r="K1048" s="9" t="s">
        <v>32</v>
      </c>
      <c r="L1048" s="20">
        <v>0.5</v>
      </c>
      <c r="M1048" s="14">
        <v>0.5</v>
      </c>
      <c r="S1048" s="14">
        <v>0</v>
      </c>
      <c r="U1048" s="14">
        <v>1</v>
      </c>
      <c r="AD1048" s="14">
        <v>1</v>
      </c>
      <c r="AE1048" s="14">
        <v>1</v>
      </c>
      <c r="AF1048" s="14" t="s">
        <v>1247</v>
      </c>
      <c r="AG1048" s="14" t="s">
        <v>1143</v>
      </c>
    </row>
    <row r="1049" spans="1:34" s="14" customFormat="1" x14ac:dyDescent="0.25">
      <c r="A1049" s="10" t="s">
        <v>1243</v>
      </c>
      <c r="B1049" s="10"/>
      <c r="C1049" s="10">
        <v>1</v>
      </c>
      <c r="D1049" s="11">
        <v>42279</v>
      </c>
      <c r="E1049" s="12">
        <v>43585</v>
      </c>
      <c r="F1049" s="26" t="str">
        <f t="shared" si="32"/>
        <v>42 : 28</v>
      </c>
      <c r="G1049" s="14">
        <f t="shared" si="33"/>
        <v>1306</v>
      </c>
      <c r="H1049" s="9">
        <v>6</v>
      </c>
      <c r="I1049" s="9" t="s">
        <v>147</v>
      </c>
      <c r="J1049" s="9" t="s">
        <v>35</v>
      </c>
      <c r="K1049" s="9" t="s">
        <v>35</v>
      </c>
      <c r="L1049" s="20">
        <v>0.5</v>
      </c>
      <c r="M1049" s="14">
        <v>0.5</v>
      </c>
      <c r="T1049" s="14">
        <v>1</v>
      </c>
      <c r="Y1049" s="14">
        <v>1</v>
      </c>
      <c r="AD1049" s="14">
        <v>0</v>
      </c>
      <c r="AE1049" s="14">
        <v>0</v>
      </c>
      <c r="AF1049" s="14" t="s">
        <v>1248</v>
      </c>
      <c r="AG1049" s="14" t="s">
        <v>1249</v>
      </c>
    </row>
    <row r="1050" spans="1:34" s="14" customFormat="1" x14ac:dyDescent="0.25">
      <c r="A1050" s="10" t="s">
        <v>1243</v>
      </c>
      <c r="B1050" s="10"/>
      <c r="C1050" s="10">
        <v>1</v>
      </c>
      <c r="D1050" s="11">
        <v>42279</v>
      </c>
      <c r="E1050" s="12">
        <v>43585</v>
      </c>
      <c r="F1050" s="26" t="str">
        <f t="shared" si="32"/>
        <v>42 : 28</v>
      </c>
      <c r="G1050" s="14">
        <f t="shared" si="33"/>
        <v>1306</v>
      </c>
      <c r="H1050" s="9">
        <v>6</v>
      </c>
      <c r="I1050" s="9" t="s">
        <v>148</v>
      </c>
      <c r="J1050" s="9" t="s">
        <v>33</v>
      </c>
      <c r="K1050" s="9" t="s">
        <v>32</v>
      </c>
      <c r="L1050" s="20">
        <v>-0.5</v>
      </c>
      <c r="M1050" s="14">
        <v>-0.5</v>
      </c>
      <c r="R1050" s="14">
        <v>1</v>
      </c>
      <c r="Y1050" s="14">
        <v>1</v>
      </c>
      <c r="AA1050" s="14">
        <v>1</v>
      </c>
      <c r="AF1050" s="14" t="s">
        <v>1250</v>
      </c>
      <c r="AG1050" s="14" t="s">
        <v>1251</v>
      </c>
    </row>
    <row r="1051" spans="1:34" s="14" customFormat="1" x14ac:dyDescent="0.25">
      <c r="A1051" s="10" t="s">
        <v>1243</v>
      </c>
      <c r="B1051" s="10"/>
      <c r="C1051" s="10">
        <v>1</v>
      </c>
      <c r="D1051" s="11">
        <v>42279</v>
      </c>
      <c r="E1051" s="12">
        <v>43585</v>
      </c>
      <c r="F1051" s="26" t="str">
        <f t="shared" si="32"/>
        <v>42 : 28</v>
      </c>
      <c r="G1051" s="14">
        <f t="shared" si="33"/>
        <v>1306</v>
      </c>
      <c r="H1051" s="9">
        <v>6</v>
      </c>
      <c r="I1051" s="9" t="s">
        <v>152</v>
      </c>
      <c r="J1051" s="9" t="s">
        <v>30</v>
      </c>
      <c r="K1051" s="9" t="s">
        <v>30</v>
      </c>
      <c r="L1051" s="20">
        <v>-0.5</v>
      </c>
      <c r="M1051" s="14">
        <v>0.5</v>
      </c>
      <c r="AD1051" s="14">
        <v>0</v>
      </c>
      <c r="AE1051" s="14">
        <v>1</v>
      </c>
      <c r="AG1051" s="14" t="s">
        <v>1252</v>
      </c>
    </row>
    <row r="1052" spans="1:34" s="14" customFormat="1" x14ac:dyDescent="0.25">
      <c r="A1052" s="10" t="s">
        <v>1243</v>
      </c>
      <c r="B1052" s="10"/>
      <c r="C1052" s="10">
        <v>1</v>
      </c>
      <c r="D1052" s="11">
        <v>42279</v>
      </c>
      <c r="E1052" s="12">
        <v>43585</v>
      </c>
      <c r="F1052" s="26" t="str">
        <f t="shared" si="32"/>
        <v>42 : 28</v>
      </c>
      <c r="G1052" s="14">
        <f t="shared" si="33"/>
        <v>1306</v>
      </c>
      <c r="H1052" s="9">
        <v>6</v>
      </c>
      <c r="I1052" s="9" t="s">
        <v>153</v>
      </c>
      <c r="J1052" s="9" t="s">
        <v>39</v>
      </c>
      <c r="K1052" s="9" t="s">
        <v>39</v>
      </c>
      <c r="L1052" s="20">
        <v>0.5</v>
      </c>
      <c r="M1052" s="9">
        <v>0.5</v>
      </c>
      <c r="O1052" s="14">
        <v>1</v>
      </c>
      <c r="AD1052" s="14">
        <v>0</v>
      </c>
      <c r="AE1052" s="14">
        <v>0</v>
      </c>
      <c r="AG1052" s="14" t="s">
        <v>313</v>
      </c>
    </row>
    <row r="1053" spans="1:34" s="14" customFormat="1" x14ac:dyDescent="0.25">
      <c r="A1053" s="10" t="s">
        <v>1243</v>
      </c>
      <c r="B1053" s="10"/>
      <c r="C1053" s="10">
        <v>1</v>
      </c>
      <c r="D1053" s="11">
        <v>42279</v>
      </c>
      <c r="E1053" s="12">
        <v>43585</v>
      </c>
      <c r="F1053" s="26" t="str">
        <f t="shared" si="32"/>
        <v>42 : 28</v>
      </c>
      <c r="G1053" s="14">
        <f t="shared" si="33"/>
        <v>1306</v>
      </c>
      <c r="H1053" s="9">
        <v>6</v>
      </c>
      <c r="I1053" s="9" t="s">
        <v>154</v>
      </c>
      <c r="J1053" s="9" t="s">
        <v>40</v>
      </c>
      <c r="K1053" s="9" t="s">
        <v>40</v>
      </c>
      <c r="L1053" s="20">
        <v>-0.5</v>
      </c>
      <c r="M1053" s="14">
        <v>0.5</v>
      </c>
      <c r="Y1053" s="14">
        <v>1</v>
      </c>
      <c r="Z1053" s="14">
        <v>1</v>
      </c>
      <c r="AA1053" s="14">
        <v>1</v>
      </c>
      <c r="AF1053" s="14" t="s">
        <v>1253</v>
      </c>
      <c r="AG1053" s="14" t="s">
        <v>1254</v>
      </c>
      <c r="AH1053" s="14" t="s">
        <v>1255</v>
      </c>
    </row>
    <row r="1054" spans="1:34" s="14" customFormat="1" x14ac:dyDescent="0.25">
      <c r="A1054" s="10" t="s">
        <v>1243</v>
      </c>
      <c r="B1054" s="10"/>
      <c r="C1054" s="10">
        <v>1</v>
      </c>
      <c r="D1054" s="11">
        <v>42279</v>
      </c>
      <c r="E1054" s="12">
        <v>43585</v>
      </c>
      <c r="F1054" s="26" t="str">
        <f t="shared" si="32"/>
        <v>42 : 28</v>
      </c>
      <c r="G1054" s="14">
        <f t="shared" si="33"/>
        <v>1306</v>
      </c>
      <c r="H1054" s="9">
        <v>6</v>
      </c>
      <c r="I1054" s="9" t="s">
        <v>155</v>
      </c>
      <c r="J1054" s="9" t="s">
        <v>33</v>
      </c>
      <c r="K1054" s="9" t="s">
        <v>33</v>
      </c>
      <c r="L1054" s="20">
        <v>0.5</v>
      </c>
      <c r="M1054" s="14">
        <v>0.5</v>
      </c>
      <c r="AD1054" s="14">
        <v>0</v>
      </c>
      <c r="AE1054" s="14">
        <v>0</v>
      </c>
      <c r="AG1054" s="14" t="s">
        <v>1018</v>
      </c>
    </row>
    <row r="1055" spans="1:34" s="14" customFormat="1" x14ac:dyDescent="0.25">
      <c r="A1055" s="10" t="s">
        <v>1243</v>
      </c>
      <c r="B1055" s="10"/>
      <c r="C1055" s="10">
        <v>1</v>
      </c>
      <c r="D1055" s="11">
        <v>42279</v>
      </c>
      <c r="E1055" s="12">
        <v>43585</v>
      </c>
      <c r="F1055" s="26" t="str">
        <f t="shared" si="32"/>
        <v>42 : 28</v>
      </c>
      <c r="G1055" s="14">
        <f t="shared" si="33"/>
        <v>1306</v>
      </c>
      <c r="H1055" s="9">
        <v>6</v>
      </c>
      <c r="I1055" s="9" t="s">
        <v>156</v>
      </c>
      <c r="J1055" s="9" t="s">
        <v>30</v>
      </c>
      <c r="K1055" s="9" t="s">
        <v>40</v>
      </c>
      <c r="L1055" s="20">
        <v>0.5</v>
      </c>
      <c r="M1055" s="14">
        <v>-0.5</v>
      </c>
      <c r="AD1055" s="14">
        <v>0</v>
      </c>
      <c r="AE1055" s="14">
        <v>0</v>
      </c>
      <c r="AG1055" s="14" t="s">
        <v>216</v>
      </c>
    </row>
    <row r="1056" spans="1:34" s="14" customFormat="1" x14ac:dyDescent="0.25">
      <c r="A1056" s="10" t="s">
        <v>1243</v>
      </c>
      <c r="B1056" s="10"/>
      <c r="C1056" s="10">
        <v>1</v>
      </c>
      <c r="D1056" s="11">
        <v>42279</v>
      </c>
      <c r="E1056" s="12">
        <v>43585</v>
      </c>
      <c r="F1056" s="26" t="str">
        <f t="shared" si="32"/>
        <v>42 : 28</v>
      </c>
      <c r="G1056" s="14">
        <f t="shared" si="33"/>
        <v>1306</v>
      </c>
      <c r="H1056" s="9">
        <v>6</v>
      </c>
      <c r="I1056" s="9" t="s">
        <v>157</v>
      </c>
      <c r="J1056" s="9" t="s">
        <v>32</v>
      </c>
      <c r="K1056" s="9" t="s">
        <v>35</v>
      </c>
      <c r="L1056" s="20">
        <v>-0.5</v>
      </c>
      <c r="M1056" s="14">
        <v>-0.5</v>
      </c>
      <c r="AD1056" s="14">
        <v>0</v>
      </c>
      <c r="AE1056" s="14">
        <v>1</v>
      </c>
      <c r="AG1056" s="14" t="s">
        <v>1018</v>
      </c>
    </row>
    <row r="1057" spans="1:34" s="14" customFormat="1" x14ac:dyDescent="0.25">
      <c r="A1057" s="10" t="s">
        <v>1243</v>
      </c>
      <c r="B1057" s="10"/>
      <c r="C1057" s="10">
        <v>1</v>
      </c>
      <c r="D1057" s="11">
        <v>42279</v>
      </c>
      <c r="E1057" s="12">
        <v>43585</v>
      </c>
      <c r="F1057" s="26" t="str">
        <f t="shared" si="32"/>
        <v>42 : 28</v>
      </c>
      <c r="G1057" s="14">
        <f t="shared" si="33"/>
        <v>1306</v>
      </c>
      <c r="H1057" s="9">
        <v>6</v>
      </c>
      <c r="I1057" s="9" t="s">
        <v>158</v>
      </c>
      <c r="J1057" s="9" t="s">
        <v>39</v>
      </c>
      <c r="K1057" s="9" t="s">
        <v>39</v>
      </c>
      <c r="L1057" s="20">
        <v>-0.5</v>
      </c>
      <c r="M1057" s="14">
        <v>0.5</v>
      </c>
      <c r="S1057" s="14">
        <v>0</v>
      </c>
      <c r="AD1057" s="14">
        <v>0</v>
      </c>
      <c r="AE1057" s="14">
        <v>1</v>
      </c>
      <c r="AF1057" s="14" t="s">
        <v>1256</v>
      </c>
      <c r="AG1057" s="14" t="s">
        <v>829</v>
      </c>
    </row>
    <row r="1058" spans="1:34" s="14" customFormat="1" x14ac:dyDescent="0.25">
      <c r="A1058" s="10" t="s">
        <v>1257</v>
      </c>
      <c r="B1058" s="10"/>
      <c r="C1058" s="10">
        <v>0</v>
      </c>
      <c r="D1058" s="11">
        <v>42262</v>
      </c>
      <c r="E1058" s="12">
        <v>43557</v>
      </c>
      <c r="F1058" s="26" t="str">
        <f t="shared" si="32"/>
        <v>42 : 18</v>
      </c>
      <c r="G1058" s="14">
        <f t="shared" si="33"/>
        <v>1295</v>
      </c>
      <c r="H1058" s="9">
        <v>7</v>
      </c>
      <c r="I1058" s="9">
        <v>6</v>
      </c>
      <c r="J1058" s="9" t="s">
        <v>39</v>
      </c>
      <c r="K1058" s="9" t="s">
        <v>40</v>
      </c>
      <c r="L1058" s="20">
        <v>-0.5</v>
      </c>
      <c r="M1058" s="14">
        <v>-0.5</v>
      </c>
      <c r="AD1058" s="14">
        <v>0</v>
      </c>
      <c r="AE1058" s="14">
        <v>1</v>
      </c>
      <c r="AG1058" s="14" t="s">
        <v>41</v>
      </c>
    </row>
    <row r="1059" spans="1:34" s="14" customFormat="1" x14ac:dyDescent="0.25">
      <c r="A1059" s="10" t="s">
        <v>1257</v>
      </c>
      <c r="B1059" s="10"/>
      <c r="C1059" s="10">
        <v>0</v>
      </c>
      <c r="D1059" s="11">
        <v>42262</v>
      </c>
      <c r="E1059" s="12">
        <v>43557</v>
      </c>
      <c r="F1059" s="26" t="str">
        <f t="shared" si="32"/>
        <v>42 : 18</v>
      </c>
      <c r="G1059" s="14">
        <f t="shared" si="33"/>
        <v>1295</v>
      </c>
      <c r="H1059" s="9">
        <v>7</v>
      </c>
      <c r="I1059" s="9">
        <v>5</v>
      </c>
      <c r="J1059" s="9" t="s">
        <v>33</v>
      </c>
      <c r="K1059" s="9" t="s">
        <v>35</v>
      </c>
      <c r="L1059" s="20">
        <v>0.5</v>
      </c>
      <c r="M1059" s="14">
        <v>-0.5</v>
      </c>
      <c r="Y1059" s="14">
        <v>1</v>
      </c>
      <c r="AD1059" s="14">
        <v>0</v>
      </c>
      <c r="AE1059" s="14">
        <v>0</v>
      </c>
      <c r="AF1059" s="14" t="s">
        <v>1258</v>
      </c>
      <c r="AG1059" s="14" t="s">
        <v>1259</v>
      </c>
    </row>
    <row r="1060" spans="1:34" s="14" customFormat="1" x14ac:dyDescent="0.25">
      <c r="A1060" s="10" t="s">
        <v>1257</v>
      </c>
      <c r="B1060" s="10"/>
      <c r="C1060" s="10">
        <v>0</v>
      </c>
      <c r="D1060" s="11">
        <v>42262</v>
      </c>
      <c r="E1060" s="12">
        <v>43557</v>
      </c>
      <c r="F1060" s="26" t="str">
        <f t="shared" si="32"/>
        <v>42 : 18</v>
      </c>
      <c r="G1060" s="14">
        <f t="shared" si="33"/>
        <v>1295</v>
      </c>
      <c r="H1060" s="9">
        <v>7</v>
      </c>
      <c r="I1060" s="9">
        <v>4</v>
      </c>
      <c r="J1060" s="9" t="s">
        <v>32</v>
      </c>
      <c r="K1060" s="9" t="s">
        <v>32</v>
      </c>
      <c r="L1060" s="20">
        <v>-0.5</v>
      </c>
      <c r="M1060" s="14">
        <v>0.5</v>
      </c>
      <c r="AD1060" s="14">
        <v>0</v>
      </c>
      <c r="AE1060" s="14">
        <v>1</v>
      </c>
      <c r="AG1060" s="14" t="s">
        <v>1260</v>
      </c>
    </row>
    <row r="1061" spans="1:34" s="14" customFormat="1" x14ac:dyDescent="0.25">
      <c r="A1061" s="10" t="s">
        <v>1257</v>
      </c>
      <c r="B1061" s="10"/>
      <c r="C1061" s="10">
        <v>0</v>
      </c>
      <c r="D1061" s="11">
        <v>42262</v>
      </c>
      <c r="E1061" s="12">
        <v>43557</v>
      </c>
      <c r="F1061" s="26" t="str">
        <f t="shared" si="32"/>
        <v>42 : 18</v>
      </c>
      <c r="G1061" s="14">
        <f t="shared" si="33"/>
        <v>1295</v>
      </c>
      <c r="H1061" s="9">
        <v>7</v>
      </c>
      <c r="I1061" s="9">
        <v>3</v>
      </c>
      <c r="J1061" s="9" t="s">
        <v>35</v>
      </c>
      <c r="K1061" s="9" t="s">
        <v>35</v>
      </c>
      <c r="L1061" s="20">
        <v>-0.5</v>
      </c>
      <c r="M1061" s="14">
        <v>0.5</v>
      </c>
      <c r="AD1061" s="14">
        <v>0</v>
      </c>
      <c r="AE1061" s="14">
        <v>1</v>
      </c>
      <c r="AG1061" s="14" t="s">
        <v>45</v>
      </c>
    </row>
    <row r="1062" spans="1:34" s="14" customFormat="1" x14ac:dyDescent="0.25">
      <c r="A1062" s="10" t="s">
        <v>1257</v>
      </c>
      <c r="B1062" s="10"/>
      <c r="C1062" s="10">
        <v>0</v>
      </c>
      <c r="D1062" s="11">
        <v>42262</v>
      </c>
      <c r="E1062" s="12">
        <v>43557</v>
      </c>
      <c r="F1062" s="26" t="str">
        <f t="shared" si="32"/>
        <v>42 : 18</v>
      </c>
      <c r="G1062" s="14">
        <f t="shared" si="33"/>
        <v>1295</v>
      </c>
      <c r="H1062" s="9">
        <v>7</v>
      </c>
      <c r="I1062" s="9">
        <v>2</v>
      </c>
      <c r="J1062" s="9" t="s">
        <v>32</v>
      </c>
      <c r="K1062" s="9" t="s">
        <v>33</v>
      </c>
      <c r="L1062" s="20">
        <v>0.5</v>
      </c>
      <c r="M1062" s="14">
        <v>-0.5</v>
      </c>
      <c r="AD1062" s="14">
        <v>0</v>
      </c>
      <c r="AE1062" s="14">
        <v>0</v>
      </c>
      <c r="AG1062" s="14" t="s">
        <v>265</v>
      </c>
    </row>
    <row r="1063" spans="1:34" s="14" customFormat="1" x14ac:dyDescent="0.25">
      <c r="A1063" s="10" t="s">
        <v>1257</v>
      </c>
      <c r="B1063" s="10"/>
      <c r="C1063" s="10">
        <v>0</v>
      </c>
      <c r="D1063" s="11">
        <v>42262</v>
      </c>
      <c r="E1063" s="12">
        <v>43557</v>
      </c>
      <c r="F1063" s="26" t="str">
        <f t="shared" si="32"/>
        <v>42 : 18</v>
      </c>
      <c r="G1063" s="14">
        <f t="shared" si="33"/>
        <v>1295</v>
      </c>
      <c r="H1063" s="9">
        <v>7</v>
      </c>
      <c r="I1063" s="9">
        <v>1</v>
      </c>
      <c r="J1063" s="9" t="s">
        <v>30</v>
      </c>
      <c r="K1063" s="9" t="s">
        <v>30</v>
      </c>
      <c r="L1063" s="20">
        <v>0.5</v>
      </c>
      <c r="M1063" s="14">
        <v>0.5</v>
      </c>
      <c r="AD1063" s="14">
        <v>0</v>
      </c>
      <c r="AE1063" s="14">
        <v>0</v>
      </c>
      <c r="AG1063" s="14" t="s">
        <v>53</v>
      </c>
    </row>
    <row r="1064" spans="1:34" s="14" customFormat="1" x14ac:dyDescent="0.25">
      <c r="A1064" s="10" t="s">
        <v>1257</v>
      </c>
      <c r="B1064" s="10"/>
      <c r="C1064" s="10">
        <v>0</v>
      </c>
      <c r="D1064" s="11">
        <v>42262</v>
      </c>
      <c r="E1064" s="12">
        <v>43557</v>
      </c>
      <c r="F1064" s="26" t="str">
        <f t="shared" si="32"/>
        <v>42 : 18</v>
      </c>
      <c r="G1064" s="14">
        <f t="shared" si="33"/>
        <v>1295</v>
      </c>
      <c r="H1064" s="9">
        <v>7</v>
      </c>
      <c r="I1064" s="9">
        <v>12</v>
      </c>
      <c r="J1064" s="9" t="s">
        <v>30</v>
      </c>
      <c r="K1064" s="9" t="s">
        <v>39</v>
      </c>
      <c r="L1064" s="20">
        <v>-0.5</v>
      </c>
      <c r="M1064" s="14">
        <v>-0.5</v>
      </c>
      <c r="AD1064" s="14">
        <v>0</v>
      </c>
      <c r="AE1064" s="14">
        <v>1</v>
      </c>
      <c r="AG1064" s="14" t="s">
        <v>93</v>
      </c>
    </row>
    <row r="1065" spans="1:34" s="14" customFormat="1" x14ac:dyDescent="0.25">
      <c r="A1065" s="10" t="s">
        <v>1257</v>
      </c>
      <c r="B1065" s="10"/>
      <c r="C1065" s="10">
        <v>0</v>
      </c>
      <c r="D1065" s="11">
        <v>42262</v>
      </c>
      <c r="E1065" s="12">
        <v>43557</v>
      </c>
      <c r="F1065" s="26" t="str">
        <f t="shared" si="32"/>
        <v>42 : 18</v>
      </c>
      <c r="G1065" s="14">
        <f t="shared" si="33"/>
        <v>1295</v>
      </c>
      <c r="H1065" s="9">
        <v>7</v>
      </c>
      <c r="I1065" s="9">
        <v>11</v>
      </c>
      <c r="J1065" s="9" t="s">
        <v>40</v>
      </c>
      <c r="K1065" s="9" t="s">
        <v>40</v>
      </c>
      <c r="L1065" s="20">
        <v>0.5</v>
      </c>
      <c r="M1065" s="14">
        <v>0.5</v>
      </c>
      <c r="AD1065" s="14">
        <v>0</v>
      </c>
      <c r="AE1065" s="14">
        <v>0</v>
      </c>
      <c r="AG1065" s="14" t="s">
        <v>138</v>
      </c>
    </row>
    <row r="1066" spans="1:34" s="14" customFormat="1" x14ac:dyDescent="0.25">
      <c r="A1066" s="10" t="s">
        <v>1257</v>
      </c>
      <c r="B1066" s="10"/>
      <c r="C1066" s="10">
        <v>0</v>
      </c>
      <c r="D1066" s="11">
        <v>42262</v>
      </c>
      <c r="E1066" s="12">
        <v>43557</v>
      </c>
      <c r="F1066" s="26" t="str">
        <f t="shared" ref="F1066:F1105" si="34">DATEDIF(D1066,E1066,"M")&amp;" : "&amp;DATEDIF(D1066,E1066,"MD")</f>
        <v>42 : 18</v>
      </c>
      <c r="G1066" s="14">
        <f t="shared" ref="G1066:G1105" si="35">DATEDIF(D1066,E1066,"D")</f>
        <v>1295</v>
      </c>
      <c r="H1066" s="9">
        <v>7</v>
      </c>
      <c r="I1066" s="9">
        <v>10</v>
      </c>
      <c r="J1066" s="9" t="s">
        <v>33</v>
      </c>
      <c r="K1066" s="9" t="s">
        <v>33</v>
      </c>
      <c r="L1066" s="20">
        <v>-0.5</v>
      </c>
      <c r="M1066" s="14">
        <v>0.5</v>
      </c>
      <c r="AD1066" s="14">
        <v>0</v>
      </c>
      <c r="AE1066" s="14">
        <v>1</v>
      </c>
      <c r="AG1066" s="14" t="s">
        <v>45</v>
      </c>
      <c r="AH1066" s="14" t="s">
        <v>950</v>
      </c>
    </row>
    <row r="1067" spans="1:34" s="14" customFormat="1" x14ac:dyDescent="0.25">
      <c r="A1067" s="10" t="s">
        <v>1257</v>
      </c>
      <c r="B1067" s="10"/>
      <c r="C1067" s="10">
        <v>0</v>
      </c>
      <c r="D1067" s="11">
        <v>42262</v>
      </c>
      <c r="E1067" s="12">
        <v>43557</v>
      </c>
      <c r="F1067" s="26" t="str">
        <f t="shared" si="34"/>
        <v>42 : 18</v>
      </c>
      <c r="G1067" s="14">
        <f t="shared" si="35"/>
        <v>1295</v>
      </c>
      <c r="H1067" s="9">
        <v>7</v>
      </c>
      <c r="I1067" s="9">
        <v>9</v>
      </c>
      <c r="J1067" s="9" t="s">
        <v>40</v>
      </c>
      <c r="K1067" s="9" t="s">
        <v>30</v>
      </c>
      <c r="L1067" s="20">
        <v>-0.5</v>
      </c>
      <c r="M1067" s="14">
        <v>-0.5</v>
      </c>
      <c r="AD1067" s="14">
        <v>0</v>
      </c>
      <c r="AE1067" s="14">
        <v>1</v>
      </c>
      <c r="AG1067" s="14" t="s">
        <v>90</v>
      </c>
    </row>
    <row r="1068" spans="1:34" s="14" customFormat="1" x14ac:dyDescent="0.25">
      <c r="A1068" s="10" t="s">
        <v>1257</v>
      </c>
      <c r="B1068" s="10"/>
      <c r="C1068" s="10">
        <v>0</v>
      </c>
      <c r="D1068" s="11">
        <v>42262</v>
      </c>
      <c r="E1068" s="12">
        <v>43557</v>
      </c>
      <c r="F1068" s="26" t="str">
        <f t="shared" si="34"/>
        <v>42 : 18</v>
      </c>
      <c r="G1068" s="14">
        <f t="shared" si="35"/>
        <v>1295</v>
      </c>
      <c r="H1068" s="9">
        <v>7</v>
      </c>
      <c r="I1068" s="9">
        <v>8</v>
      </c>
      <c r="J1068" s="9" t="s">
        <v>35</v>
      </c>
      <c r="K1068" s="9" t="s">
        <v>35</v>
      </c>
      <c r="L1068" s="20">
        <v>0.5</v>
      </c>
      <c r="M1068" s="14">
        <v>0.5</v>
      </c>
      <c r="N1068" s="14">
        <v>1</v>
      </c>
      <c r="T1068" s="14">
        <v>1</v>
      </c>
      <c r="AF1068" s="14" t="s">
        <v>1261</v>
      </c>
      <c r="AG1068" s="14" t="s">
        <v>1262</v>
      </c>
    </row>
    <row r="1069" spans="1:34" s="14" customFormat="1" x14ac:dyDescent="0.25">
      <c r="A1069" s="10" t="s">
        <v>1257</v>
      </c>
      <c r="B1069" s="10"/>
      <c r="C1069" s="10">
        <v>0</v>
      </c>
      <c r="D1069" s="11">
        <v>42262</v>
      </c>
      <c r="E1069" s="12">
        <v>43557</v>
      </c>
      <c r="F1069" s="26" t="str">
        <f t="shared" si="34"/>
        <v>42 : 18</v>
      </c>
      <c r="G1069" s="14">
        <f t="shared" si="35"/>
        <v>1295</v>
      </c>
      <c r="H1069" s="9">
        <v>7</v>
      </c>
      <c r="I1069" s="9">
        <v>7</v>
      </c>
      <c r="J1069" s="9" t="s">
        <v>39</v>
      </c>
      <c r="K1069" s="9" t="s">
        <v>39</v>
      </c>
      <c r="L1069" s="20">
        <v>0.5</v>
      </c>
      <c r="M1069" s="14">
        <v>0.5</v>
      </c>
      <c r="T1069" s="14">
        <v>1</v>
      </c>
      <c r="AD1069" s="14">
        <v>0</v>
      </c>
      <c r="AE1069" s="14">
        <v>0</v>
      </c>
      <c r="AG1069" s="14" t="s">
        <v>1263</v>
      </c>
    </row>
    <row r="1070" spans="1:34" s="14" customFormat="1" x14ac:dyDescent="0.25">
      <c r="A1070" s="10" t="s">
        <v>1264</v>
      </c>
      <c r="B1070" s="10"/>
      <c r="C1070" s="10">
        <v>0</v>
      </c>
      <c r="D1070" s="11">
        <v>42272</v>
      </c>
      <c r="E1070" s="12">
        <v>43566</v>
      </c>
      <c r="F1070" s="26" t="str">
        <f t="shared" si="34"/>
        <v>42 : 17</v>
      </c>
      <c r="G1070" s="14">
        <f t="shared" si="35"/>
        <v>1294</v>
      </c>
      <c r="H1070" s="22">
        <v>2</v>
      </c>
      <c r="I1070" s="9" t="s">
        <v>97</v>
      </c>
      <c r="J1070" s="9" t="s">
        <v>30</v>
      </c>
      <c r="K1070" s="9" t="s">
        <v>30</v>
      </c>
      <c r="L1070" s="20">
        <v>-0.5</v>
      </c>
      <c r="M1070" s="14">
        <v>0.5</v>
      </c>
      <c r="AD1070" s="14">
        <v>0</v>
      </c>
      <c r="AE1070" s="14">
        <v>1</v>
      </c>
      <c r="AG1070" s="14" t="s">
        <v>98</v>
      </c>
    </row>
    <row r="1071" spans="1:34" s="14" customFormat="1" x14ac:dyDescent="0.25">
      <c r="A1071" s="10" t="s">
        <v>1264</v>
      </c>
      <c r="B1071" s="10"/>
      <c r="C1071" s="10">
        <v>0</v>
      </c>
      <c r="D1071" s="11">
        <v>42272</v>
      </c>
      <c r="E1071" s="12">
        <v>43566</v>
      </c>
      <c r="F1071" s="26" t="str">
        <f t="shared" si="34"/>
        <v>42 : 17</v>
      </c>
      <c r="G1071" s="14">
        <f t="shared" si="35"/>
        <v>1294</v>
      </c>
      <c r="H1071" s="22">
        <v>2</v>
      </c>
      <c r="I1071" s="9" t="s">
        <v>148</v>
      </c>
      <c r="J1071" s="9" t="s">
        <v>33</v>
      </c>
      <c r="K1071" s="9" t="s">
        <v>32</v>
      </c>
      <c r="L1071" s="20">
        <v>-0.5</v>
      </c>
      <c r="M1071" s="14">
        <v>-0.5</v>
      </c>
      <c r="AD1071" s="14">
        <v>0</v>
      </c>
      <c r="AE1071" s="14">
        <v>1</v>
      </c>
      <c r="AF1071" s="14" t="s">
        <v>1265</v>
      </c>
      <c r="AG1071" s="14" t="s">
        <v>98</v>
      </c>
    </row>
    <row r="1072" spans="1:34" s="14" customFormat="1" x14ac:dyDescent="0.25">
      <c r="A1072" s="10" t="s">
        <v>1264</v>
      </c>
      <c r="B1072" s="10"/>
      <c r="C1072" s="10">
        <v>0</v>
      </c>
      <c r="D1072" s="11">
        <v>42272</v>
      </c>
      <c r="E1072" s="12">
        <v>43566</v>
      </c>
      <c r="F1072" s="26" t="str">
        <f t="shared" si="34"/>
        <v>42 : 17</v>
      </c>
      <c r="G1072" s="14">
        <f t="shared" si="35"/>
        <v>1294</v>
      </c>
      <c r="H1072" s="22">
        <v>2</v>
      </c>
      <c r="I1072" s="9" t="s">
        <v>147</v>
      </c>
      <c r="J1072" s="9" t="s">
        <v>35</v>
      </c>
      <c r="K1072" s="9" t="s">
        <v>35</v>
      </c>
      <c r="L1072" s="20">
        <v>0.5</v>
      </c>
      <c r="M1072" s="14">
        <v>0.5</v>
      </c>
      <c r="AD1072" s="14">
        <v>0</v>
      </c>
      <c r="AE1072" s="14">
        <v>0</v>
      </c>
      <c r="AG1072" s="14" t="s">
        <v>535</v>
      </c>
    </row>
    <row r="1073" spans="1:34" s="14" customFormat="1" x14ac:dyDescent="0.25">
      <c r="A1073" s="10" t="s">
        <v>1264</v>
      </c>
      <c r="B1073" s="10"/>
      <c r="C1073" s="10">
        <v>0</v>
      </c>
      <c r="D1073" s="11">
        <v>42272</v>
      </c>
      <c r="E1073" s="12">
        <v>43566</v>
      </c>
      <c r="F1073" s="26" t="str">
        <f t="shared" si="34"/>
        <v>42 : 17</v>
      </c>
      <c r="G1073" s="14">
        <f t="shared" si="35"/>
        <v>1294</v>
      </c>
      <c r="H1073" s="22">
        <v>2</v>
      </c>
      <c r="I1073" s="9" t="s">
        <v>146</v>
      </c>
      <c r="J1073" s="9" t="s">
        <v>32</v>
      </c>
      <c r="K1073" s="9" t="s">
        <v>32</v>
      </c>
      <c r="L1073" s="20">
        <v>0.5</v>
      </c>
      <c r="M1073" s="14">
        <v>0.5</v>
      </c>
      <c r="AD1073" s="14">
        <v>0</v>
      </c>
      <c r="AE1073" s="14">
        <v>0</v>
      </c>
      <c r="AG1073" s="14" t="s">
        <v>50</v>
      </c>
    </row>
    <row r="1074" spans="1:34" s="14" customFormat="1" x14ac:dyDescent="0.25">
      <c r="A1074" s="10" t="s">
        <v>1264</v>
      </c>
      <c r="B1074" s="10"/>
      <c r="C1074" s="10">
        <v>0</v>
      </c>
      <c r="D1074" s="11">
        <v>42272</v>
      </c>
      <c r="E1074" s="12">
        <v>43566</v>
      </c>
      <c r="F1074" s="26" t="str">
        <f t="shared" si="34"/>
        <v>42 : 17</v>
      </c>
      <c r="G1074" s="14">
        <f t="shared" si="35"/>
        <v>1294</v>
      </c>
      <c r="H1074" s="22">
        <v>2</v>
      </c>
      <c r="I1074" s="9" t="s">
        <v>145</v>
      </c>
      <c r="J1074" s="9" t="s">
        <v>35</v>
      </c>
      <c r="K1074" s="9" t="s">
        <v>33</v>
      </c>
      <c r="L1074" s="20">
        <v>-0.5</v>
      </c>
      <c r="M1074" s="14">
        <v>-0.5</v>
      </c>
      <c r="R1074" s="14">
        <v>1</v>
      </c>
      <c r="S1074" s="14">
        <v>0</v>
      </c>
      <c r="Y1074" s="14">
        <v>1</v>
      </c>
      <c r="AA1074" s="14">
        <v>1</v>
      </c>
      <c r="AF1074" s="14" t="s">
        <v>1266</v>
      </c>
      <c r="AG1074" s="14" t="s">
        <v>339</v>
      </c>
    </row>
    <row r="1075" spans="1:34" s="14" customFormat="1" x14ac:dyDescent="0.25">
      <c r="A1075" s="10" t="s">
        <v>1264</v>
      </c>
      <c r="B1075" s="10"/>
      <c r="C1075" s="10">
        <v>0</v>
      </c>
      <c r="D1075" s="11">
        <v>42272</v>
      </c>
      <c r="E1075" s="12">
        <v>43566</v>
      </c>
      <c r="F1075" s="26" t="str">
        <f t="shared" si="34"/>
        <v>42 : 17</v>
      </c>
      <c r="G1075" s="14">
        <f t="shared" si="35"/>
        <v>1294</v>
      </c>
      <c r="H1075" s="22">
        <v>2</v>
      </c>
      <c r="I1075" s="9" t="s">
        <v>143</v>
      </c>
      <c r="J1075" s="9" t="s">
        <v>40</v>
      </c>
      <c r="K1075" s="9" t="s">
        <v>39</v>
      </c>
      <c r="L1075" s="20">
        <v>0.5</v>
      </c>
      <c r="M1075" s="14">
        <v>-0.5</v>
      </c>
      <c r="AD1075" s="14">
        <v>0</v>
      </c>
      <c r="AE1075" s="14">
        <v>0</v>
      </c>
      <c r="AG1075" s="14" t="s">
        <v>354</v>
      </c>
    </row>
    <row r="1076" spans="1:34" s="14" customFormat="1" x14ac:dyDescent="0.25">
      <c r="A1076" s="10" t="s">
        <v>1264</v>
      </c>
      <c r="B1076" s="10"/>
      <c r="C1076" s="10">
        <v>0</v>
      </c>
      <c r="D1076" s="11">
        <v>42272</v>
      </c>
      <c r="E1076" s="12">
        <v>43566</v>
      </c>
      <c r="F1076" s="26" t="str">
        <f t="shared" si="34"/>
        <v>42 : 17</v>
      </c>
      <c r="G1076" s="14">
        <f t="shared" si="35"/>
        <v>1294</v>
      </c>
      <c r="H1076" s="22">
        <v>2</v>
      </c>
      <c r="I1076" s="9" t="s">
        <v>158</v>
      </c>
      <c r="J1076" s="9" t="s">
        <v>39</v>
      </c>
      <c r="K1076" s="9" t="s">
        <v>39</v>
      </c>
      <c r="L1076" s="20">
        <v>-0.5</v>
      </c>
      <c r="M1076" s="14">
        <v>0.5</v>
      </c>
      <c r="S1076" s="14">
        <v>0</v>
      </c>
      <c r="AD1076" s="14">
        <v>0</v>
      </c>
      <c r="AE1076" s="14">
        <v>1</v>
      </c>
      <c r="AF1076" s="14" t="s">
        <v>1267</v>
      </c>
      <c r="AG1076" s="14" t="s">
        <v>1268</v>
      </c>
      <c r="AH1076" s="14" t="s">
        <v>280</v>
      </c>
    </row>
    <row r="1077" spans="1:34" s="14" customFormat="1" x14ac:dyDescent="0.25">
      <c r="A1077" s="10" t="s">
        <v>1264</v>
      </c>
      <c r="B1077" s="10"/>
      <c r="C1077" s="10">
        <v>0</v>
      </c>
      <c r="D1077" s="11">
        <v>42272</v>
      </c>
      <c r="E1077" s="12">
        <v>43566</v>
      </c>
      <c r="F1077" s="26" t="str">
        <f t="shared" si="34"/>
        <v>42 : 17</v>
      </c>
      <c r="G1077" s="14">
        <f t="shared" si="35"/>
        <v>1294</v>
      </c>
      <c r="H1077" s="22">
        <v>2</v>
      </c>
      <c r="I1077" s="9" t="s">
        <v>157</v>
      </c>
      <c r="J1077" s="9" t="s">
        <v>32</v>
      </c>
      <c r="K1077" s="9" t="s">
        <v>35</v>
      </c>
      <c r="L1077" s="20">
        <v>-0.5</v>
      </c>
      <c r="M1077" s="14">
        <v>-0.5</v>
      </c>
      <c r="R1077" s="14">
        <v>1</v>
      </c>
      <c r="S1077" s="14">
        <v>1</v>
      </c>
      <c r="Y1077" s="14">
        <v>1</v>
      </c>
      <c r="Z1077" s="14">
        <v>1</v>
      </c>
      <c r="AA1077" s="14">
        <v>1</v>
      </c>
      <c r="AF1077" s="14" t="s">
        <v>1269</v>
      </c>
      <c r="AG1077" s="14" t="s">
        <v>1270</v>
      </c>
    </row>
    <row r="1078" spans="1:34" s="14" customFormat="1" x14ac:dyDescent="0.25">
      <c r="A1078" s="10" t="s">
        <v>1264</v>
      </c>
      <c r="B1078" s="10"/>
      <c r="C1078" s="10">
        <v>0</v>
      </c>
      <c r="D1078" s="11">
        <v>42272</v>
      </c>
      <c r="E1078" s="12">
        <v>43566</v>
      </c>
      <c r="F1078" s="26" t="str">
        <f t="shared" si="34"/>
        <v>42 : 17</v>
      </c>
      <c r="G1078" s="14">
        <f t="shared" si="35"/>
        <v>1294</v>
      </c>
      <c r="H1078" s="22">
        <v>2</v>
      </c>
      <c r="I1078" s="9" t="s">
        <v>156</v>
      </c>
      <c r="J1078" s="9" t="s">
        <v>30</v>
      </c>
      <c r="K1078" s="9" t="s">
        <v>40</v>
      </c>
      <c r="L1078" s="20">
        <v>0.5</v>
      </c>
      <c r="M1078" s="14">
        <v>-0.5</v>
      </c>
      <c r="AA1078" s="14">
        <v>1</v>
      </c>
      <c r="AD1078" s="13"/>
      <c r="AE1078" s="13"/>
      <c r="AF1078" s="14" t="s">
        <v>1271</v>
      </c>
      <c r="AG1078" s="14" t="s">
        <v>168</v>
      </c>
    </row>
    <row r="1079" spans="1:34" s="14" customFormat="1" x14ac:dyDescent="0.25">
      <c r="A1079" s="10" t="s">
        <v>1264</v>
      </c>
      <c r="B1079" s="10"/>
      <c r="C1079" s="10">
        <v>0</v>
      </c>
      <c r="D1079" s="11">
        <v>42272</v>
      </c>
      <c r="E1079" s="12">
        <v>43566</v>
      </c>
      <c r="F1079" s="26" t="str">
        <f t="shared" si="34"/>
        <v>42 : 17</v>
      </c>
      <c r="G1079" s="14">
        <f t="shared" si="35"/>
        <v>1294</v>
      </c>
      <c r="H1079" s="22">
        <v>2</v>
      </c>
      <c r="I1079" s="9" t="s">
        <v>155</v>
      </c>
      <c r="J1079" s="9" t="s">
        <v>33</v>
      </c>
      <c r="K1079" s="9" t="s">
        <v>33</v>
      </c>
      <c r="L1079" s="20">
        <v>0.5</v>
      </c>
      <c r="M1079" s="14">
        <v>0.5</v>
      </c>
      <c r="R1079" s="14">
        <v>1</v>
      </c>
      <c r="S1079" s="14">
        <v>1</v>
      </c>
      <c r="Y1079" s="14">
        <v>1</v>
      </c>
      <c r="AA1079" s="14">
        <v>1</v>
      </c>
      <c r="AD1079" s="13"/>
      <c r="AE1079" s="13"/>
      <c r="AF1079" s="14" t="s">
        <v>1272</v>
      </c>
      <c r="AG1079" s="14" t="s">
        <v>1273</v>
      </c>
    </row>
    <row r="1080" spans="1:34" s="14" customFormat="1" x14ac:dyDescent="0.25">
      <c r="A1080" s="10" t="s">
        <v>1264</v>
      </c>
      <c r="B1080" s="10"/>
      <c r="C1080" s="10">
        <v>0</v>
      </c>
      <c r="D1080" s="11">
        <v>42272</v>
      </c>
      <c r="E1080" s="12">
        <v>43566</v>
      </c>
      <c r="F1080" s="26" t="str">
        <f t="shared" si="34"/>
        <v>42 : 17</v>
      </c>
      <c r="G1080" s="14">
        <f t="shared" si="35"/>
        <v>1294</v>
      </c>
      <c r="H1080" s="22">
        <v>2</v>
      </c>
      <c r="I1080" s="9" t="s">
        <v>154</v>
      </c>
      <c r="J1080" s="9" t="s">
        <v>40</v>
      </c>
      <c r="K1080" s="9" t="s">
        <v>40</v>
      </c>
      <c r="L1080" s="20">
        <v>-0.5</v>
      </c>
      <c r="M1080" s="14">
        <v>0.5</v>
      </c>
      <c r="Q1080" s="14">
        <v>1</v>
      </c>
      <c r="R1080" s="14">
        <v>1</v>
      </c>
      <c r="S1080" s="14">
        <v>1</v>
      </c>
      <c r="Y1080" s="14">
        <v>1</v>
      </c>
      <c r="AA1080" s="14">
        <v>1</v>
      </c>
      <c r="AD1080" s="13"/>
      <c r="AE1080" s="13"/>
      <c r="AF1080" s="14" t="s">
        <v>1274</v>
      </c>
      <c r="AG1080" s="14" t="s">
        <v>132</v>
      </c>
    </row>
    <row r="1081" spans="1:34" s="14" customFormat="1" x14ac:dyDescent="0.25">
      <c r="A1081" s="10" t="s">
        <v>1264</v>
      </c>
      <c r="B1081" s="10"/>
      <c r="C1081" s="10">
        <v>0</v>
      </c>
      <c r="D1081" s="11">
        <v>42272</v>
      </c>
      <c r="E1081" s="12">
        <v>43566</v>
      </c>
      <c r="F1081" s="26" t="str">
        <f t="shared" si="34"/>
        <v>42 : 17</v>
      </c>
      <c r="G1081" s="14">
        <f t="shared" si="35"/>
        <v>1294</v>
      </c>
      <c r="H1081" s="22">
        <v>2</v>
      </c>
      <c r="I1081" s="9" t="s">
        <v>153</v>
      </c>
      <c r="J1081" s="9" t="s">
        <v>39</v>
      </c>
      <c r="K1081" s="9" t="s">
        <v>30</v>
      </c>
      <c r="L1081" s="20">
        <v>0.5</v>
      </c>
      <c r="M1081" s="14">
        <v>-0.5</v>
      </c>
      <c r="R1081" s="14">
        <v>1</v>
      </c>
      <c r="Y1081" s="14">
        <v>1</v>
      </c>
      <c r="AA1081" s="14">
        <v>1</v>
      </c>
      <c r="AD1081" s="13"/>
      <c r="AE1081" s="13"/>
      <c r="AF1081" s="14" t="s">
        <v>1275</v>
      </c>
      <c r="AG1081" s="14" t="s">
        <v>444</v>
      </c>
    </row>
    <row r="1082" spans="1:34" s="14" customFormat="1" x14ac:dyDescent="0.25">
      <c r="A1082" s="10" t="s">
        <v>1276</v>
      </c>
      <c r="B1082" s="10"/>
      <c r="C1082" s="10">
        <v>1</v>
      </c>
      <c r="D1082" s="11">
        <v>42270</v>
      </c>
      <c r="E1082" s="12">
        <v>43570</v>
      </c>
      <c r="F1082" s="26" t="str">
        <f t="shared" si="34"/>
        <v>42 : 23</v>
      </c>
      <c r="G1082" s="14">
        <f t="shared" si="35"/>
        <v>1300</v>
      </c>
      <c r="H1082" s="9">
        <v>5</v>
      </c>
      <c r="I1082" s="9">
        <v>6</v>
      </c>
      <c r="J1082" s="9" t="s">
        <v>39</v>
      </c>
      <c r="K1082" s="9" t="s">
        <v>39</v>
      </c>
      <c r="L1082" s="20">
        <v>0.5</v>
      </c>
      <c r="M1082" s="14">
        <v>0.5</v>
      </c>
      <c r="N1082" s="14">
        <v>1</v>
      </c>
      <c r="U1082" s="14">
        <v>1</v>
      </c>
      <c r="Y1082" s="14">
        <v>1</v>
      </c>
      <c r="AF1082" s="14" t="s">
        <v>1277</v>
      </c>
      <c r="AG1082" s="14" t="s">
        <v>1278</v>
      </c>
    </row>
    <row r="1083" spans="1:34" s="14" customFormat="1" x14ac:dyDescent="0.25">
      <c r="A1083" s="10" t="s">
        <v>1276</v>
      </c>
      <c r="B1083" s="10"/>
      <c r="C1083" s="10">
        <v>1</v>
      </c>
      <c r="D1083" s="11">
        <v>42270</v>
      </c>
      <c r="E1083" s="12">
        <v>43570</v>
      </c>
      <c r="F1083" s="26" t="str">
        <f t="shared" si="34"/>
        <v>42 : 23</v>
      </c>
      <c r="G1083" s="14">
        <f t="shared" si="35"/>
        <v>1300</v>
      </c>
      <c r="H1083" s="9">
        <v>5</v>
      </c>
      <c r="I1083" s="9">
        <v>5</v>
      </c>
      <c r="J1083" s="9" t="s">
        <v>33</v>
      </c>
      <c r="K1083" s="9" t="s">
        <v>39</v>
      </c>
      <c r="L1083" s="20">
        <v>-0.5</v>
      </c>
      <c r="M1083" s="14">
        <v>-0.5</v>
      </c>
      <c r="N1083" s="14">
        <v>1</v>
      </c>
      <c r="U1083" s="14">
        <v>1</v>
      </c>
      <c r="AD1083" s="14">
        <v>1</v>
      </c>
      <c r="AE1083" s="14">
        <v>0</v>
      </c>
      <c r="AF1083" s="14" t="s">
        <v>1279</v>
      </c>
      <c r="AG1083" s="14" t="s">
        <v>1280</v>
      </c>
    </row>
    <row r="1084" spans="1:34" s="14" customFormat="1" x14ac:dyDescent="0.25">
      <c r="A1084" s="10" t="s">
        <v>1276</v>
      </c>
      <c r="B1084" s="10"/>
      <c r="C1084" s="10">
        <v>1</v>
      </c>
      <c r="D1084" s="11">
        <v>42270</v>
      </c>
      <c r="E1084" s="12">
        <v>43570</v>
      </c>
      <c r="F1084" s="26" t="str">
        <f t="shared" si="34"/>
        <v>42 : 23</v>
      </c>
      <c r="G1084" s="14">
        <f t="shared" si="35"/>
        <v>1300</v>
      </c>
      <c r="H1084" s="9">
        <v>5</v>
      </c>
      <c r="I1084" s="9">
        <v>4</v>
      </c>
      <c r="J1084" s="9" t="s">
        <v>32</v>
      </c>
      <c r="K1084" s="9" t="s">
        <v>32</v>
      </c>
      <c r="L1084" s="20">
        <v>0.5</v>
      </c>
      <c r="M1084" s="14">
        <v>0.5</v>
      </c>
      <c r="Z1084" s="14">
        <v>1</v>
      </c>
      <c r="AA1084" s="14">
        <v>1</v>
      </c>
      <c r="AF1084" s="14" t="s">
        <v>1281</v>
      </c>
      <c r="AG1084" s="14" t="s">
        <v>1282</v>
      </c>
    </row>
    <row r="1085" spans="1:34" s="14" customFormat="1" x14ac:dyDescent="0.25">
      <c r="A1085" s="10" t="s">
        <v>1276</v>
      </c>
      <c r="B1085" s="10"/>
      <c r="C1085" s="10">
        <v>1</v>
      </c>
      <c r="D1085" s="11">
        <v>42270</v>
      </c>
      <c r="E1085" s="12">
        <v>43570</v>
      </c>
      <c r="F1085" s="26" t="str">
        <f t="shared" si="34"/>
        <v>42 : 23</v>
      </c>
      <c r="G1085" s="14">
        <f t="shared" si="35"/>
        <v>1300</v>
      </c>
      <c r="H1085" s="9">
        <v>5</v>
      </c>
      <c r="I1085" s="9">
        <v>3</v>
      </c>
      <c r="J1085" s="9" t="s">
        <v>35</v>
      </c>
      <c r="K1085" s="9" t="s">
        <v>35</v>
      </c>
      <c r="L1085" s="20">
        <v>0.5</v>
      </c>
      <c r="M1085" s="14">
        <v>0.5</v>
      </c>
      <c r="AD1085" s="14">
        <v>0</v>
      </c>
      <c r="AE1085" s="14">
        <v>0</v>
      </c>
      <c r="AG1085" s="14" t="s">
        <v>1283</v>
      </c>
    </row>
    <row r="1086" spans="1:34" s="14" customFormat="1" x14ac:dyDescent="0.25">
      <c r="A1086" s="10" t="s">
        <v>1276</v>
      </c>
      <c r="B1086" s="10"/>
      <c r="C1086" s="10">
        <v>1</v>
      </c>
      <c r="D1086" s="11">
        <v>42270</v>
      </c>
      <c r="E1086" s="12">
        <v>43570</v>
      </c>
      <c r="F1086" s="26" t="str">
        <f t="shared" si="34"/>
        <v>42 : 23</v>
      </c>
      <c r="G1086" s="14">
        <f t="shared" si="35"/>
        <v>1300</v>
      </c>
      <c r="H1086" s="9">
        <v>5</v>
      </c>
      <c r="I1086" s="9">
        <v>2</v>
      </c>
      <c r="J1086" s="9" t="s">
        <v>32</v>
      </c>
      <c r="K1086" s="9" t="s">
        <v>33</v>
      </c>
      <c r="L1086" s="20">
        <v>-0.5</v>
      </c>
      <c r="M1086" s="14">
        <v>-0.5</v>
      </c>
      <c r="AD1086" s="14">
        <v>1</v>
      </c>
      <c r="AE1086" s="14">
        <v>0</v>
      </c>
      <c r="AG1086" s="14" t="s">
        <v>1284</v>
      </c>
    </row>
    <row r="1087" spans="1:34" s="14" customFormat="1" x14ac:dyDescent="0.25">
      <c r="A1087" s="10" t="s">
        <v>1276</v>
      </c>
      <c r="B1087" s="10"/>
      <c r="C1087" s="10">
        <v>1</v>
      </c>
      <c r="D1087" s="11">
        <v>42270</v>
      </c>
      <c r="E1087" s="12">
        <v>43570</v>
      </c>
      <c r="F1087" s="26" t="str">
        <f t="shared" si="34"/>
        <v>42 : 23</v>
      </c>
      <c r="G1087" s="14">
        <f t="shared" si="35"/>
        <v>1300</v>
      </c>
      <c r="H1087" s="9">
        <v>5</v>
      </c>
      <c r="I1087" s="9">
        <v>1</v>
      </c>
      <c r="J1087" s="9" t="s">
        <v>30</v>
      </c>
      <c r="K1087" s="9" t="s">
        <v>30</v>
      </c>
      <c r="L1087" s="20">
        <v>-0.5</v>
      </c>
      <c r="M1087" s="14">
        <v>0.5</v>
      </c>
      <c r="Q1087" s="14">
        <v>1</v>
      </c>
      <c r="X1087" s="14">
        <v>0</v>
      </c>
      <c r="AA1087" s="14">
        <v>1</v>
      </c>
      <c r="AF1087" s="14" t="s">
        <v>1285</v>
      </c>
      <c r="AG1087" s="14" t="s">
        <v>1286</v>
      </c>
    </row>
    <row r="1088" spans="1:34" s="14" customFormat="1" x14ac:dyDescent="0.25">
      <c r="A1088" s="10" t="s">
        <v>1276</v>
      </c>
      <c r="B1088" s="10"/>
      <c r="C1088" s="10">
        <v>1</v>
      </c>
      <c r="D1088" s="11">
        <v>42270</v>
      </c>
      <c r="E1088" s="12">
        <v>43570</v>
      </c>
      <c r="F1088" s="26" t="str">
        <f t="shared" si="34"/>
        <v>42 : 23</v>
      </c>
      <c r="G1088" s="14">
        <f t="shared" si="35"/>
        <v>1300</v>
      </c>
      <c r="H1088" s="9">
        <v>5</v>
      </c>
      <c r="I1088" s="9">
        <v>12</v>
      </c>
      <c r="J1088" s="9" t="s">
        <v>30</v>
      </c>
      <c r="K1088" s="9" t="s">
        <v>39</v>
      </c>
      <c r="L1088" s="20">
        <v>0.5</v>
      </c>
      <c r="M1088" s="14">
        <v>-0.5</v>
      </c>
      <c r="T1088" s="14">
        <v>1</v>
      </c>
      <c r="AD1088" s="14">
        <v>1</v>
      </c>
      <c r="AE1088" s="14">
        <v>1</v>
      </c>
      <c r="AG1088" s="14" t="s">
        <v>1287</v>
      </c>
    </row>
    <row r="1089" spans="1:34" s="14" customFormat="1" x14ac:dyDescent="0.25">
      <c r="A1089" s="10" t="s">
        <v>1276</v>
      </c>
      <c r="B1089" s="10"/>
      <c r="C1089" s="10">
        <v>1</v>
      </c>
      <c r="D1089" s="11">
        <v>42270</v>
      </c>
      <c r="E1089" s="12">
        <v>43570</v>
      </c>
      <c r="F1089" s="26" t="str">
        <f t="shared" si="34"/>
        <v>42 : 23</v>
      </c>
      <c r="G1089" s="14">
        <f t="shared" si="35"/>
        <v>1300</v>
      </c>
      <c r="H1089" s="9">
        <v>5</v>
      </c>
      <c r="I1089" s="9">
        <v>11</v>
      </c>
      <c r="J1089" s="9" t="s">
        <v>40</v>
      </c>
      <c r="K1089" s="9" t="s">
        <v>40</v>
      </c>
      <c r="L1089" s="20">
        <v>-0.5</v>
      </c>
      <c r="M1089" s="14">
        <v>0.5</v>
      </c>
      <c r="AD1089" s="14">
        <v>0</v>
      </c>
      <c r="AE1089" s="14">
        <v>1</v>
      </c>
      <c r="AG1089" s="14" t="s">
        <v>1288</v>
      </c>
    </row>
    <row r="1090" spans="1:34" s="14" customFormat="1" x14ac:dyDescent="0.25">
      <c r="A1090" s="10" t="s">
        <v>1276</v>
      </c>
      <c r="B1090" s="10"/>
      <c r="C1090" s="10">
        <v>1</v>
      </c>
      <c r="D1090" s="11">
        <v>42270</v>
      </c>
      <c r="E1090" s="12">
        <v>43570</v>
      </c>
      <c r="F1090" s="26" t="str">
        <f t="shared" si="34"/>
        <v>42 : 23</v>
      </c>
      <c r="G1090" s="14">
        <f t="shared" si="35"/>
        <v>1300</v>
      </c>
      <c r="H1090" s="9">
        <v>5</v>
      </c>
      <c r="I1090" s="9">
        <v>10</v>
      </c>
      <c r="J1090" s="9" t="s">
        <v>33</v>
      </c>
      <c r="K1090" s="9" t="s">
        <v>33</v>
      </c>
      <c r="L1090" s="20">
        <v>0.5</v>
      </c>
      <c r="M1090" s="14">
        <v>0.5</v>
      </c>
      <c r="Q1090" s="14">
        <v>1</v>
      </c>
      <c r="V1090" s="14" t="s">
        <v>197</v>
      </c>
      <c r="W1090" s="14">
        <v>1</v>
      </c>
      <c r="AD1090" s="14">
        <v>0</v>
      </c>
      <c r="AE1090" s="14">
        <v>0</v>
      </c>
      <c r="AF1090" s="14" t="s">
        <v>1289</v>
      </c>
      <c r="AG1090" s="14" t="s">
        <v>1290</v>
      </c>
    </row>
    <row r="1091" spans="1:34" s="14" customFormat="1" x14ac:dyDescent="0.25">
      <c r="A1091" s="10" t="s">
        <v>1276</v>
      </c>
      <c r="B1091" s="10"/>
      <c r="C1091" s="10">
        <v>1</v>
      </c>
      <c r="D1091" s="11">
        <v>42270</v>
      </c>
      <c r="E1091" s="12">
        <v>43570</v>
      </c>
      <c r="F1091" s="26" t="str">
        <f t="shared" si="34"/>
        <v>42 : 23</v>
      </c>
      <c r="G1091" s="14">
        <f t="shared" si="35"/>
        <v>1300</v>
      </c>
      <c r="H1091" s="9">
        <v>5</v>
      </c>
      <c r="I1091" s="9">
        <v>9</v>
      </c>
      <c r="J1091" s="9" t="s">
        <v>40</v>
      </c>
      <c r="K1091" s="9" t="s">
        <v>30</v>
      </c>
      <c r="L1091" s="20">
        <v>0.5</v>
      </c>
      <c r="M1091" s="14">
        <v>-0.5</v>
      </c>
      <c r="Y1091" s="14">
        <v>1</v>
      </c>
      <c r="AD1091" s="14">
        <v>0</v>
      </c>
      <c r="AE1091" s="14">
        <v>0</v>
      </c>
      <c r="AG1091" s="14" t="s">
        <v>1291</v>
      </c>
    </row>
    <row r="1092" spans="1:34" s="14" customFormat="1" x14ac:dyDescent="0.25">
      <c r="A1092" s="10" t="s">
        <v>1276</v>
      </c>
      <c r="B1092" s="10"/>
      <c r="C1092" s="10">
        <v>1</v>
      </c>
      <c r="D1092" s="11">
        <v>42270</v>
      </c>
      <c r="E1092" s="12">
        <v>43570</v>
      </c>
      <c r="F1092" s="26" t="str">
        <f t="shared" si="34"/>
        <v>42 : 23</v>
      </c>
      <c r="G1092" s="14">
        <f t="shared" si="35"/>
        <v>1300</v>
      </c>
      <c r="H1092" s="9">
        <v>5</v>
      </c>
      <c r="I1092" s="9">
        <v>8</v>
      </c>
      <c r="J1092" s="9" t="s">
        <v>35</v>
      </c>
      <c r="K1092" s="9" t="s">
        <v>32</v>
      </c>
      <c r="L1092" s="20">
        <v>-0.5</v>
      </c>
      <c r="M1092" s="14">
        <v>-0.5</v>
      </c>
      <c r="S1092" s="14">
        <v>0</v>
      </c>
      <c r="Y1092" s="14">
        <v>1</v>
      </c>
      <c r="AD1092" s="14">
        <v>0</v>
      </c>
      <c r="AE1092" s="14">
        <v>1</v>
      </c>
      <c r="AF1092" s="14" t="s">
        <v>1292</v>
      </c>
      <c r="AG1092" s="14" t="s">
        <v>1293</v>
      </c>
    </row>
    <row r="1093" spans="1:34" s="14" customFormat="1" x14ac:dyDescent="0.25">
      <c r="A1093" s="10" t="s">
        <v>1276</v>
      </c>
      <c r="B1093" s="10"/>
      <c r="C1093" s="10">
        <v>1</v>
      </c>
      <c r="D1093" s="11">
        <v>42270</v>
      </c>
      <c r="E1093" s="12">
        <v>43570</v>
      </c>
      <c r="F1093" s="26" t="str">
        <f t="shared" si="34"/>
        <v>42 : 23</v>
      </c>
      <c r="G1093" s="14">
        <f t="shared" si="35"/>
        <v>1300</v>
      </c>
      <c r="H1093" s="9">
        <v>5</v>
      </c>
      <c r="I1093" s="9">
        <v>7</v>
      </c>
      <c r="J1093" s="9" t="s">
        <v>39</v>
      </c>
      <c r="K1093" s="9" t="s">
        <v>39</v>
      </c>
      <c r="L1093" s="20">
        <v>-0.5</v>
      </c>
      <c r="M1093" s="14">
        <v>0.5</v>
      </c>
      <c r="AD1093" s="14">
        <v>0</v>
      </c>
      <c r="AE1093" s="14">
        <v>1</v>
      </c>
      <c r="AG1093" s="14" t="s">
        <v>1294</v>
      </c>
    </row>
    <row r="1094" spans="1:34" s="14" customFormat="1" x14ac:dyDescent="0.25">
      <c r="A1094" s="10" t="s">
        <v>1295</v>
      </c>
      <c r="B1094" s="10"/>
      <c r="C1094" s="10">
        <v>0</v>
      </c>
      <c r="D1094" s="11">
        <v>42271</v>
      </c>
      <c r="E1094" s="12">
        <v>43566</v>
      </c>
      <c r="F1094" s="26" t="str">
        <f t="shared" si="34"/>
        <v>42 : 18</v>
      </c>
      <c r="G1094" s="14">
        <f t="shared" si="35"/>
        <v>1295</v>
      </c>
      <c r="H1094" s="9">
        <v>3</v>
      </c>
      <c r="I1094" s="9">
        <v>1</v>
      </c>
      <c r="J1094" s="9" t="s">
        <v>30</v>
      </c>
      <c r="K1094" s="9" t="s">
        <v>30</v>
      </c>
      <c r="L1094" s="15">
        <v>0.5</v>
      </c>
      <c r="M1094" s="14">
        <v>0.5</v>
      </c>
      <c r="Y1094" s="14">
        <v>1</v>
      </c>
      <c r="AA1094" s="14">
        <v>1</v>
      </c>
      <c r="AD1094" s="13"/>
      <c r="AE1094" s="13"/>
      <c r="AF1094" s="14" t="s">
        <v>1296</v>
      </c>
      <c r="AG1094" s="14" t="s">
        <v>1297</v>
      </c>
    </row>
    <row r="1095" spans="1:34" s="14" customFormat="1" x14ac:dyDescent="0.25">
      <c r="A1095" s="10" t="s">
        <v>1295</v>
      </c>
      <c r="B1095" s="10"/>
      <c r="C1095" s="10">
        <v>0</v>
      </c>
      <c r="D1095" s="11">
        <v>42271</v>
      </c>
      <c r="E1095" s="12">
        <v>43566</v>
      </c>
      <c r="F1095" s="26" t="str">
        <f t="shared" si="34"/>
        <v>42 : 18</v>
      </c>
      <c r="G1095" s="14">
        <f t="shared" si="35"/>
        <v>1295</v>
      </c>
      <c r="H1095" s="9">
        <v>3</v>
      </c>
      <c r="I1095" s="9">
        <v>2</v>
      </c>
      <c r="J1095" s="9" t="s">
        <v>32</v>
      </c>
      <c r="K1095" s="9" t="s">
        <v>33</v>
      </c>
      <c r="L1095" s="15">
        <v>0.5</v>
      </c>
      <c r="M1095" s="14">
        <v>-0.5</v>
      </c>
      <c r="V1095" s="14" t="s">
        <v>261</v>
      </c>
      <c r="W1095" s="14">
        <v>1</v>
      </c>
      <c r="Y1095" s="14">
        <v>1</v>
      </c>
      <c r="AA1095" s="14">
        <v>1</v>
      </c>
      <c r="AD1095" s="13"/>
      <c r="AE1095" s="13"/>
      <c r="AF1095" s="14" t="s">
        <v>1298</v>
      </c>
      <c r="AG1095" s="14" t="s">
        <v>1299</v>
      </c>
    </row>
    <row r="1096" spans="1:34" s="14" customFormat="1" x14ac:dyDescent="0.25">
      <c r="A1096" s="10" t="s">
        <v>1295</v>
      </c>
      <c r="B1096" s="10"/>
      <c r="C1096" s="10">
        <v>0</v>
      </c>
      <c r="D1096" s="11">
        <v>42271</v>
      </c>
      <c r="E1096" s="12">
        <v>43566</v>
      </c>
      <c r="F1096" s="26" t="str">
        <f t="shared" si="34"/>
        <v>42 : 18</v>
      </c>
      <c r="G1096" s="14">
        <f t="shared" si="35"/>
        <v>1295</v>
      </c>
      <c r="H1096" s="9">
        <v>3</v>
      </c>
      <c r="I1096" s="9">
        <v>3</v>
      </c>
      <c r="J1096" s="9" t="s">
        <v>35</v>
      </c>
      <c r="K1096" s="9" t="s">
        <v>35</v>
      </c>
      <c r="L1096" s="15">
        <v>-0.5</v>
      </c>
      <c r="M1096" s="14">
        <v>0.5</v>
      </c>
      <c r="AD1096" s="14">
        <v>0</v>
      </c>
      <c r="AE1096" s="14">
        <v>1</v>
      </c>
      <c r="AG1096" s="14" t="s">
        <v>1300</v>
      </c>
    </row>
    <row r="1097" spans="1:34" s="14" customFormat="1" x14ac:dyDescent="0.25">
      <c r="A1097" s="10" t="s">
        <v>1295</v>
      </c>
      <c r="B1097" s="10"/>
      <c r="C1097" s="10">
        <v>0</v>
      </c>
      <c r="D1097" s="11">
        <v>42271</v>
      </c>
      <c r="E1097" s="12">
        <v>43566</v>
      </c>
      <c r="F1097" s="26" t="str">
        <f t="shared" si="34"/>
        <v>42 : 18</v>
      </c>
      <c r="G1097" s="14">
        <f t="shared" si="35"/>
        <v>1295</v>
      </c>
      <c r="H1097" s="9">
        <v>3</v>
      </c>
      <c r="I1097" s="9">
        <v>4</v>
      </c>
      <c r="J1097" s="9" t="s">
        <v>32</v>
      </c>
      <c r="K1097" s="9" t="s">
        <v>32</v>
      </c>
      <c r="L1097" s="15">
        <v>-0.5</v>
      </c>
      <c r="M1097" s="14">
        <v>0.5</v>
      </c>
      <c r="AD1097" s="14">
        <v>0</v>
      </c>
      <c r="AE1097" s="14">
        <v>1</v>
      </c>
      <c r="AG1097" s="14" t="s">
        <v>1301</v>
      </c>
    </row>
    <row r="1098" spans="1:34" s="14" customFormat="1" x14ac:dyDescent="0.25">
      <c r="A1098" s="10" t="s">
        <v>1295</v>
      </c>
      <c r="B1098" s="10"/>
      <c r="C1098" s="10">
        <v>0</v>
      </c>
      <c r="D1098" s="11">
        <v>42271</v>
      </c>
      <c r="E1098" s="12">
        <v>43566</v>
      </c>
      <c r="F1098" s="26" t="str">
        <f t="shared" si="34"/>
        <v>42 : 18</v>
      </c>
      <c r="G1098" s="14">
        <f t="shared" si="35"/>
        <v>1295</v>
      </c>
      <c r="H1098" s="9">
        <v>3</v>
      </c>
      <c r="I1098" s="9">
        <v>5</v>
      </c>
      <c r="J1098" s="9" t="s">
        <v>33</v>
      </c>
      <c r="K1098" s="9" t="s">
        <v>35</v>
      </c>
      <c r="L1098" s="15">
        <v>0.5</v>
      </c>
      <c r="M1098" s="14">
        <v>-0.5</v>
      </c>
      <c r="S1098" s="14">
        <v>0</v>
      </c>
      <c r="V1098" s="14" t="s">
        <v>276</v>
      </c>
      <c r="AD1098" s="14">
        <v>0</v>
      </c>
      <c r="AE1098" s="14">
        <v>0</v>
      </c>
      <c r="AF1098" s="14" t="s">
        <v>1302</v>
      </c>
      <c r="AG1098" s="14" t="s">
        <v>1303</v>
      </c>
    </row>
    <row r="1099" spans="1:34" s="14" customFormat="1" x14ac:dyDescent="0.25">
      <c r="A1099" s="10" t="s">
        <v>1295</v>
      </c>
      <c r="B1099" s="10"/>
      <c r="C1099" s="10">
        <v>0</v>
      </c>
      <c r="D1099" s="11">
        <v>42271</v>
      </c>
      <c r="E1099" s="12">
        <v>43566</v>
      </c>
      <c r="F1099" s="26" t="str">
        <f t="shared" si="34"/>
        <v>42 : 18</v>
      </c>
      <c r="G1099" s="14">
        <f t="shared" si="35"/>
        <v>1295</v>
      </c>
      <c r="H1099" s="9">
        <v>3</v>
      </c>
      <c r="I1099" s="9">
        <v>6</v>
      </c>
      <c r="J1099" s="9" t="s">
        <v>39</v>
      </c>
      <c r="K1099" s="9" t="s">
        <v>40</v>
      </c>
      <c r="L1099" s="15">
        <v>-0.5</v>
      </c>
      <c r="M1099" s="14">
        <v>-0.5</v>
      </c>
      <c r="AD1099" s="14">
        <v>0</v>
      </c>
      <c r="AE1099" s="14">
        <v>1</v>
      </c>
      <c r="AG1099" s="14" t="s">
        <v>50</v>
      </c>
    </row>
    <row r="1100" spans="1:34" s="14" customFormat="1" x14ac:dyDescent="0.25">
      <c r="A1100" s="10" t="s">
        <v>1295</v>
      </c>
      <c r="B1100" s="10"/>
      <c r="C1100" s="10">
        <v>0</v>
      </c>
      <c r="D1100" s="11">
        <v>42271</v>
      </c>
      <c r="E1100" s="12">
        <v>43566</v>
      </c>
      <c r="F1100" s="26" t="str">
        <f t="shared" si="34"/>
        <v>42 : 18</v>
      </c>
      <c r="G1100" s="14">
        <f t="shared" si="35"/>
        <v>1295</v>
      </c>
      <c r="H1100" s="9">
        <v>3</v>
      </c>
      <c r="I1100" s="9">
        <v>7</v>
      </c>
      <c r="J1100" s="9" t="s">
        <v>39</v>
      </c>
      <c r="K1100" s="9" t="s">
        <v>39</v>
      </c>
      <c r="L1100" s="15">
        <v>0.5</v>
      </c>
      <c r="M1100" s="14">
        <v>0.5</v>
      </c>
      <c r="S1100" s="14">
        <v>0</v>
      </c>
      <c r="AD1100" s="14">
        <v>0</v>
      </c>
      <c r="AE1100" s="14">
        <v>0</v>
      </c>
      <c r="AF1100" s="14" t="s">
        <v>1304</v>
      </c>
      <c r="AG1100" s="14" t="s">
        <v>67</v>
      </c>
    </row>
    <row r="1101" spans="1:34" s="14" customFormat="1" x14ac:dyDescent="0.25">
      <c r="A1101" s="10" t="s">
        <v>1295</v>
      </c>
      <c r="B1101" s="10"/>
      <c r="C1101" s="10">
        <v>0</v>
      </c>
      <c r="D1101" s="11">
        <v>42271</v>
      </c>
      <c r="E1101" s="12">
        <v>43566</v>
      </c>
      <c r="F1101" s="26" t="str">
        <f t="shared" si="34"/>
        <v>42 : 18</v>
      </c>
      <c r="G1101" s="14">
        <f t="shared" si="35"/>
        <v>1295</v>
      </c>
      <c r="H1101" s="9">
        <v>3</v>
      </c>
      <c r="I1101" s="9">
        <v>8</v>
      </c>
      <c r="J1101" s="9" t="s">
        <v>35</v>
      </c>
      <c r="K1101" s="9" t="s">
        <v>32</v>
      </c>
      <c r="L1101" s="15">
        <v>0.5</v>
      </c>
      <c r="M1101" s="14">
        <v>-0.5</v>
      </c>
      <c r="Y1101" s="14">
        <v>1</v>
      </c>
      <c r="AD1101" s="14">
        <v>0</v>
      </c>
      <c r="AE1101" s="14">
        <v>0</v>
      </c>
      <c r="AF1101" s="14" t="s">
        <v>1305</v>
      </c>
      <c r="AG1101" s="14" t="s">
        <v>1306</v>
      </c>
    </row>
    <row r="1102" spans="1:34" s="14" customFormat="1" x14ac:dyDescent="0.25">
      <c r="A1102" s="10" t="s">
        <v>1295</v>
      </c>
      <c r="B1102" s="10"/>
      <c r="C1102" s="10">
        <v>0</v>
      </c>
      <c r="D1102" s="11">
        <v>42271</v>
      </c>
      <c r="E1102" s="12">
        <v>43566</v>
      </c>
      <c r="F1102" s="26" t="str">
        <f t="shared" si="34"/>
        <v>42 : 18</v>
      </c>
      <c r="G1102" s="14">
        <f t="shared" si="35"/>
        <v>1295</v>
      </c>
      <c r="H1102" s="9">
        <v>3</v>
      </c>
      <c r="I1102" s="9">
        <v>9</v>
      </c>
      <c r="J1102" s="9" t="s">
        <v>40</v>
      </c>
      <c r="K1102" s="9" t="s">
        <v>30</v>
      </c>
      <c r="L1102" s="15">
        <v>-0.5</v>
      </c>
      <c r="M1102" s="14">
        <v>-0.5</v>
      </c>
      <c r="Y1102" s="14">
        <v>1</v>
      </c>
      <c r="AD1102" s="14">
        <v>0</v>
      </c>
      <c r="AE1102" s="14">
        <v>1</v>
      </c>
      <c r="AF1102" s="14" t="s">
        <v>1307</v>
      </c>
      <c r="AG1102" s="14" t="s">
        <v>52</v>
      </c>
      <c r="AH1102" s="14" t="s">
        <v>950</v>
      </c>
    </row>
    <row r="1103" spans="1:34" s="14" customFormat="1" x14ac:dyDescent="0.25">
      <c r="A1103" s="10" t="s">
        <v>1295</v>
      </c>
      <c r="B1103" s="10"/>
      <c r="C1103" s="10">
        <v>0</v>
      </c>
      <c r="D1103" s="11">
        <v>42271</v>
      </c>
      <c r="E1103" s="12">
        <v>43566</v>
      </c>
      <c r="F1103" s="26" t="str">
        <f t="shared" si="34"/>
        <v>42 : 18</v>
      </c>
      <c r="G1103" s="14">
        <f t="shared" si="35"/>
        <v>1295</v>
      </c>
      <c r="H1103" s="9">
        <v>3</v>
      </c>
      <c r="I1103" s="9">
        <v>10</v>
      </c>
      <c r="J1103" s="9" t="s">
        <v>33</v>
      </c>
      <c r="K1103" s="9" t="s">
        <v>33</v>
      </c>
      <c r="L1103" s="15">
        <v>-0.5</v>
      </c>
      <c r="M1103" s="14">
        <v>0.5</v>
      </c>
      <c r="AD1103" s="14">
        <v>0</v>
      </c>
      <c r="AE1103" s="14">
        <v>1</v>
      </c>
      <c r="AG1103" s="14" t="s">
        <v>45</v>
      </c>
    </row>
    <row r="1104" spans="1:34" s="14" customFormat="1" x14ac:dyDescent="0.25">
      <c r="A1104" s="10" t="s">
        <v>1295</v>
      </c>
      <c r="B1104" s="10"/>
      <c r="C1104" s="10">
        <v>0</v>
      </c>
      <c r="D1104" s="11">
        <v>42271</v>
      </c>
      <c r="E1104" s="12">
        <v>43566</v>
      </c>
      <c r="F1104" s="26" t="str">
        <f t="shared" si="34"/>
        <v>42 : 18</v>
      </c>
      <c r="G1104" s="14">
        <f t="shared" si="35"/>
        <v>1295</v>
      </c>
      <c r="H1104" s="9">
        <v>3</v>
      </c>
      <c r="I1104" s="9">
        <v>11</v>
      </c>
      <c r="J1104" s="9" t="s">
        <v>40</v>
      </c>
      <c r="K1104" s="9" t="s">
        <v>40</v>
      </c>
      <c r="L1104" s="15">
        <v>0.5</v>
      </c>
      <c r="M1104" s="14">
        <v>0.5</v>
      </c>
      <c r="S1104" s="14">
        <v>0</v>
      </c>
      <c r="Y1104" s="14">
        <v>1</v>
      </c>
      <c r="AD1104" s="14">
        <v>0</v>
      </c>
      <c r="AE1104" s="14">
        <v>0</v>
      </c>
      <c r="AF1104" s="14" t="s">
        <v>1308</v>
      </c>
      <c r="AG1104" s="14" t="s">
        <v>481</v>
      </c>
    </row>
    <row r="1105" spans="1:33" s="14" customFormat="1" x14ac:dyDescent="0.25">
      <c r="A1105" s="10" t="s">
        <v>1295</v>
      </c>
      <c r="B1105" s="10"/>
      <c r="C1105" s="10">
        <v>0</v>
      </c>
      <c r="D1105" s="11">
        <v>42271</v>
      </c>
      <c r="E1105" s="12">
        <v>43566</v>
      </c>
      <c r="F1105" s="26" t="str">
        <f t="shared" si="34"/>
        <v>42 : 18</v>
      </c>
      <c r="G1105" s="14">
        <f t="shared" si="35"/>
        <v>1295</v>
      </c>
      <c r="H1105" s="9">
        <v>3</v>
      </c>
      <c r="I1105" s="9">
        <v>12</v>
      </c>
      <c r="J1105" s="9" t="s">
        <v>30</v>
      </c>
      <c r="K1105" s="9" t="s">
        <v>39</v>
      </c>
      <c r="L1105" s="15">
        <v>-0.5</v>
      </c>
      <c r="M1105" s="14">
        <v>-0.5</v>
      </c>
      <c r="AD1105" s="14">
        <v>0</v>
      </c>
      <c r="AE1105" s="14">
        <v>1</v>
      </c>
      <c r="AG1105" s="14" t="s">
        <v>93</v>
      </c>
    </row>
  </sheetData>
  <autoFilter ref="AH1:AH1105" xr:uid="{D90A635B-CEF3-A548-9BE0-D129445EEC07}"/>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42 mths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Seamus Donnelly</dc:creator>
  <cp:lastModifiedBy>Seamus Donnelly</cp:lastModifiedBy>
  <dcterms:created xsi:type="dcterms:W3CDTF">2021-08-09T10:39:22Z</dcterms:created>
  <dcterms:modified xsi:type="dcterms:W3CDTF">2021-11-23T14:15:19Z</dcterms:modified>
</cp:coreProperties>
</file>